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Mac\Home\Desktop\Streamflix_Project_Solution\"/>
    </mc:Choice>
  </mc:AlternateContent>
  <xr:revisionPtr revIDLastSave="0" documentId="8_{2753F9CB-10EB-40B3-9AE1-E64FFC1916A5}" xr6:coauthVersionLast="47" xr6:coauthVersionMax="47" xr10:uidLastSave="{00000000-0000-0000-0000-000000000000}"/>
  <bookViews>
    <workbookView xWindow="-98" yWindow="-98" windowWidth="22875" windowHeight="13711" tabRatio="500" activeTab="5" xr2:uid="{00000000-000D-0000-FFFF-FFFF00000000}"/>
  </bookViews>
  <sheets>
    <sheet name="1. Overview" sheetId="1" r:id="rId1"/>
    <sheet name="2. Content" sheetId="2" r:id="rId2"/>
    <sheet name="3. Subscribers" sheetId="3" r:id="rId3"/>
    <sheet name="4. Experience" sheetId="4" r:id="rId4"/>
    <sheet name="5. Catalogue" sheetId="5" r:id="rId5"/>
    <sheet name="Data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5" l="1"/>
  <c r="G6" i="5"/>
  <c r="H31" i="4"/>
  <c r="F7" i="4"/>
  <c r="F6" i="4"/>
  <c r="F7" i="3"/>
  <c r="F6" i="3"/>
  <c r="F8" i="2"/>
  <c r="F7" i="2"/>
  <c r="F6" i="2"/>
  <c r="B34" i="1"/>
  <c r="B33" i="1"/>
  <c r="I11" i="1"/>
  <c r="I10" i="1"/>
  <c r="I6" i="1"/>
  <c r="G6" i="1"/>
  <c r="E6" i="1"/>
  <c r="C6" i="1"/>
  <c r="A6" i="1"/>
</calcChain>
</file>

<file path=xl/sharedStrings.xml><?xml version="1.0" encoding="utf-8"?>
<sst xmlns="http://schemas.openxmlformats.org/spreadsheetml/2006/main" count="731" uniqueCount="333">
  <si>
    <t>StreamFlix — Engagement Overview</t>
  </si>
  <si>
    <t>Platform health at a glance  |  Data through May 2026</t>
  </si>
  <si>
    <t>TOTAL WATCH HOURS</t>
  </si>
  <si>
    <t>TOTAL SUBSCRIBERS</t>
  </si>
  <si>
    <t>ACTIVE RATE</t>
  </si>
  <si>
    <t>CHURN RATE</t>
  </si>
  <si>
    <t>AVG COMPLETION RATE</t>
  </si>
  <si>
    <t>Filter — Select a Year to see that year's totals:</t>
  </si>
  <si>
    <t>Year:</t>
  </si>
  <si>
    <t>Watch Hours (selected year):</t>
  </si>
  <si>
    <t>Sessions (selected year):</t>
  </si>
  <si>
    <t>Monthly Watch-Hours Trend (2017 - 2026)</t>
  </si>
  <si>
    <t>Status</t>
  </si>
  <si>
    <t>Subscribers</t>
  </si>
  <si>
    <t>Active</t>
  </si>
  <si>
    <t>Churned</t>
  </si>
  <si>
    <t>💡 Key Insight: Active rate is 74.7% and churn is 25.3% — both inside target (&gt;70% active / &lt;30% churn). Watch-hours growth is compounding year over year, confirming subscribers are watching more, not just signing up more.</t>
  </si>
  <si>
    <t>StreamFlix — Content Performance</t>
  </si>
  <si>
    <t>Which genres and titles drive watch time</t>
  </si>
  <si>
    <t>Filter — Select a Genre:</t>
  </si>
  <si>
    <t>Drama</t>
  </si>
  <si>
    <t>Watch Hours:</t>
  </si>
  <si>
    <t>Completion Rate:</t>
  </si>
  <si>
    <t>Efficiency ($/1K hrs):</t>
  </si>
  <si>
    <t>Watch Hours by Genre</t>
  </si>
  <si>
    <t>Top 10 Titles by Watch Hours</t>
  </si>
  <si>
    <t>Title</t>
  </si>
  <si>
    <t>Genre</t>
  </si>
  <si>
    <t>Type</t>
  </si>
  <si>
    <t>Watch Hours</t>
  </si>
  <si>
    <t>Plays</t>
  </si>
  <si>
    <t>Gilded Throne</t>
  </si>
  <si>
    <t>Animation</t>
  </si>
  <si>
    <t>TV Show</t>
  </si>
  <si>
    <t>The Shadows of Marseille IV</t>
  </si>
  <si>
    <t>Documentary</t>
  </si>
  <si>
    <t>The Cipher of Madrid II</t>
  </si>
  <si>
    <t>Comedy</t>
  </si>
  <si>
    <t>The Reckoning of Lagos II</t>
  </si>
  <si>
    <t>Hamburg Frequency IV</t>
  </si>
  <si>
    <t>Action</t>
  </si>
  <si>
    <t>Broken Toronto II</t>
  </si>
  <si>
    <t>Thriller</t>
  </si>
  <si>
    <t>Jakarta Odyssey IV</t>
  </si>
  <si>
    <t>Kids &amp; Family</t>
  </si>
  <si>
    <t>Marseille Circuit II</t>
  </si>
  <si>
    <t>The Sanctuary of Toronto III</t>
  </si>
  <si>
    <t>Distant Cairo III</t>
  </si>
  <si>
    <t>Crime</t>
  </si>
  <si>
    <t>💡 Key Insight: Drama, Comedy and Action lead on total watch hours, but completion rates are fairly even across genres (62-68%) — the growth opportunity is in expanding under-represented genres, not fixing a completion problem.</t>
  </si>
  <si>
    <t>StreamFlix — Subscriber Insights</t>
  </si>
  <si>
    <t>Plan mix, geography, and growth</t>
  </si>
  <si>
    <t>Filter — Select a Plan:</t>
  </si>
  <si>
    <t>Premium</t>
  </si>
  <si>
    <t>Subscribers:</t>
  </si>
  <si>
    <t>Watch Hours/Subscriber:</t>
  </si>
  <si>
    <t>Subscriber Plan Distribution</t>
  </si>
  <si>
    <t>New Subscribers per Month (last 36 months)</t>
  </si>
  <si>
    <t>💡 Key Insight: Standard is the largest plan by subscriber count, but Premium subscribers watch the most hours per person - Premium is StreamFlix's most engaged and highest-value segment. The US, India, UK and South Korea are the four biggest markets by watch hours.</t>
  </si>
  <si>
    <t>StreamFlix — Experience</t>
  </si>
  <si>
    <t>Devices, ratings, and review sentiment</t>
  </si>
  <si>
    <t>Filter — Select a Device:</t>
  </si>
  <si>
    <t>Smart TV</t>
  </si>
  <si>
    <t>Sessions:</t>
  </si>
  <si>
    <t>Share of All Sessions:</t>
  </si>
  <si>
    <t>Device Usage</t>
  </si>
  <si>
    <t>Review Sentiment Breakdown</t>
  </si>
  <si>
    <t>Average Star Rating:</t>
  </si>
  <si>
    <t>💡 Key Insight: Smart TV and Mobile together account for over 60% of all sessions. Ratings skew positive (avg. ~3.5/5, mostly 3-4 stars) and reviews are 68% positive - the core viewing experience is well received, with device-specific QA best focused on the top two device types.</t>
  </si>
  <si>
    <t>StreamFlix — Catalogue &amp; Investment</t>
  </si>
  <si>
    <t>Originals vs Licensed, spend efficiency, upcoming expiries</t>
  </si>
  <si>
    <t>Filter — Select a Genre for investment efficiency:</t>
  </si>
  <si>
    <t>License Spend:</t>
  </si>
  <si>
    <t>Hours per $1K Spend:</t>
  </si>
  <si>
    <t>Watch Hours: Originals vs Licensed</t>
  </si>
  <si>
    <t>Upcoming License Expiries (next 6 months)</t>
  </si>
  <si>
    <t>Expiry Date</t>
  </si>
  <si>
    <t>License Cost</t>
  </si>
  <si>
    <t>Forgotten Sydney VII</t>
  </si>
  <si>
    <t>2026-05-31</t>
  </si>
  <si>
    <t>Crooked Jakarta II</t>
  </si>
  <si>
    <t>The Heist of Lisbon</t>
  </si>
  <si>
    <t>Falling Toronto III</t>
  </si>
  <si>
    <t>2026-06-01</t>
  </si>
  <si>
    <t>The River of Madrid</t>
  </si>
  <si>
    <t>Fantasy</t>
  </si>
  <si>
    <t>Silent Istanbul II</t>
  </si>
  <si>
    <t>Quiet Tokyo VI</t>
  </si>
  <si>
    <t>Romance</t>
  </si>
  <si>
    <t>The Circuit of Cairo V</t>
  </si>
  <si>
    <t>The Ledger of Jakarta IV</t>
  </si>
  <si>
    <t>Mystery</t>
  </si>
  <si>
    <t>2026-06-02</t>
  </si>
  <si>
    <t>Lisbon Reckoning</t>
  </si>
  <si>
    <t>Falling Cairo II</t>
  </si>
  <si>
    <t>Lost Seoul II</t>
  </si>
  <si>
    <t>Horror</t>
  </si>
  <si>
    <t>Hamburg Sanctuary II</t>
  </si>
  <si>
    <t>Hidden Mumbai II</t>
  </si>
  <si>
    <t>2026-06-03</t>
  </si>
  <si>
    <t>Electric Echoes</t>
  </si>
  <si>
    <t>Crooked Throne</t>
  </si>
  <si>
    <t>Falling Echoes III</t>
  </si>
  <si>
    <t>Stand-Up</t>
  </si>
  <si>
    <t>The River of Madrid IV</t>
  </si>
  <si>
    <t>The Horizon of Lagos</t>
  </si>
  <si>
    <t>2026-06-04</t>
  </si>
  <si>
    <t>The Pact of Sydney III</t>
  </si>
  <si>
    <t>💡 Key Insight: Originals already deliver roughly a quarter of all watch hours from a much smaller share of the catalogue - a strong return per title. Investment efficiency (hours per $1,000 spent) varies widely by genre, and the titles above are the next licensing renewal decisions leadership needs to make.</t>
  </si>
  <si>
    <t>StreamFlix Dashboard — Reference Data</t>
  </si>
  <si>
    <t>MonthlyTrend</t>
  </si>
  <si>
    <t>Month</t>
  </si>
  <si>
    <t>WatchHours</t>
  </si>
  <si>
    <t>Sessions</t>
  </si>
  <si>
    <t>Year</t>
  </si>
  <si>
    <t>2017-03</t>
  </si>
  <si>
    <t>2017-04</t>
  </si>
  <si>
    <t>2017-05</t>
  </si>
  <si>
    <t>2017-07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</si>
  <si>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</si>
  <si>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</si>
  <si>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</si>
  <si>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</si>
  <si>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</si>
  <si>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</si>
  <si>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</si>
  <si>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</si>
  <si>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</si>
  <si>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</si>
  <si>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</si>
  <si>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</si>
  <si>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</si>
  <si>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</si>
  <si>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</si>
  <si>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</si>
  <si>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</si>
  <si>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</si>
  <si>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</si>
  <si>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</si>
  <si>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</si>
  <si>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</si>
  <si>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</si>
  <si>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</si>
  <si>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</si>
  <si>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</si>
  <si>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</si>
  <si>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</si>
  <si>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</si>
  <si>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</si>
  <si>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</si>
  <si>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</si>
  <si>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</si>
  <si>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</si>
  <si>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</si>
  <si>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</si>
  <si>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</si>
  <si>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</si>
  <si>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</si>
  <si>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</si>
  <si>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</si>
  <si>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</si>
  <si>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</si>
  <si>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</si>
  <si>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</si>
  <si>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</si>
  <si>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</si>
  <si>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</si>
  <si>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</si>
  <si>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</si>
  <si>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</si>
  <si>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</si>
  <si>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</si>
  <si>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</si>
  <si>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</si>
  <si>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</si>
  <si>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</si>
  <si>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</si>
  <si>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</si>
  <si>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</si>
  <si>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</si>
  <si>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</si>
  <si>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</si>
  <si>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</si>
  <si>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</si>
  <si>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</si>
  <si>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</si>
  <si>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</si>
  <si>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</si>
  <si>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</si>
  <si>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</si>
  <si>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</si>
  <si>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</si>
  <si>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</si>
  <si>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</si>
  <si>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</si>
  <si>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</si>
  <si>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</si>
  <si>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</si>
  <si>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</si>
  <si>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</si>
  <si>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</si>
  <si>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</si>
  <si>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</si>
  <si>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</si>
  <si>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</si>
  <si>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</si>
  <si>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</si>
  <si>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</si>
  <si>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</si>
  <si>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</si>
  <si>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</si>
  <si>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</si>
  <si>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</si>
  <si>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</si>
  <si>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</si>
  <si>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</si>
  <si>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</si>
  <si>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</si>
  <si>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</si>
  <si>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</si>
  <si>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</si>
  <si>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</si>
  <si>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</si>
  <si>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</si>
  <si>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GenreTable</t>
  </si>
  <si>
    <t>CompletionPct</t>
  </si>
  <si>
    <t>LicenseSpendUSD</t>
  </si>
  <si>
    <t>HoursPer1kUSD</t>
  </si>
  <si>
    <t>Sci-Fi</t>
  </si>
  <si>
    <t>Reality</t>
  </si>
  <si>
    <t>Musical</t>
  </si>
  <si>
    <t>Top10Countries</t>
  </si>
  <si>
    <t>Country</t>
  </si>
  <si>
    <t>United States</t>
  </si>
  <si>
    <t>India</t>
  </si>
  <si>
    <t>United Kingdom</t>
  </si>
  <si>
    <t>South Korea</t>
  </si>
  <si>
    <t>Japan</t>
  </si>
  <si>
    <t>Brazil</t>
  </si>
  <si>
    <t>Mexico</t>
  </si>
  <si>
    <t>Spain</t>
  </si>
  <si>
    <t>France</t>
  </si>
  <si>
    <t>Canada</t>
  </si>
  <si>
    <t>PlanTable</t>
  </si>
  <si>
    <t>Plan</t>
  </si>
  <si>
    <t>HoursPerSub</t>
  </si>
  <si>
    <t>Standard</t>
  </si>
  <si>
    <t>Basic with Ads</t>
  </si>
  <si>
    <t>RegionTable</t>
  </si>
  <si>
    <t>Region</t>
  </si>
  <si>
    <t>North America</t>
  </si>
  <si>
    <t>Europe</t>
  </si>
  <si>
    <t>East Asia</t>
  </si>
  <si>
    <t>Latin America</t>
  </si>
  <si>
    <t>South Asia</t>
  </si>
  <si>
    <t>Middle East</t>
  </si>
  <si>
    <t>Southeast Asia</t>
  </si>
  <si>
    <t>Africa</t>
  </si>
  <si>
    <t>Oceania</t>
  </si>
  <si>
    <t>DeviceTable</t>
  </si>
  <si>
    <t>Device</t>
  </si>
  <si>
    <t>Mobile</t>
  </si>
  <si>
    <t>Laptop</t>
  </si>
  <si>
    <t>Tablet</t>
  </si>
  <si>
    <t>Game Console</t>
  </si>
  <si>
    <t>Streaming Stick</t>
  </si>
  <si>
    <t>AgeTable</t>
  </si>
  <si>
    <t>AgeBand</t>
  </si>
  <si>
    <t>13-17</t>
  </si>
  <si>
    <t>18-24</t>
  </si>
  <si>
    <t>25-34</t>
  </si>
  <si>
    <t>35-44</t>
  </si>
  <si>
    <t>45-54</t>
  </si>
  <si>
    <t>55-64</t>
  </si>
  <si>
    <t>65+</t>
  </si>
  <si>
    <t>RatingTable</t>
  </si>
  <si>
    <t>Stars</t>
  </si>
  <si>
    <t>Count</t>
  </si>
  <si>
    <t>SentimentTable</t>
  </si>
  <si>
    <t>Sentiment</t>
  </si>
  <si>
    <t>Positive</t>
  </si>
  <si>
    <t>Neutral</t>
  </si>
  <si>
    <t>Negative</t>
  </si>
  <si>
    <t>Top10TitlesTable</t>
  </si>
  <si>
    <t>OriginalsVsLicensed</t>
  </si>
  <si>
    <t>IsOriginal</t>
  </si>
  <si>
    <t>Spend</t>
  </si>
  <si>
    <t>TitleCount</t>
  </si>
  <si>
    <t>Licensed/Co-Prod</t>
  </si>
  <si>
    <t>Original</t>
  </si>
  <si>
    <t>UpcomingExpiries</t>
  </si>
  <si>
    <t>ExpiryDate</t>
  </si>
  <si>
    <t>LicenseCostUSD</t>
  </si>
  <si>
    <t>NewSubsMonth</t>
  </si>
  <si>
    <t>NewSubs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</si>
  <si>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</si>
  <si>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</si>
  <si>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</si>
  <si>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</si>
  <si>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</si>
  <si>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</si>
  <si>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</si>
  <si>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</si>
  <si>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</si>
  <si>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</si>
  <si>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</si>
  <si>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</si>
  <si>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</si>
  <si>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</si>
  <si>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2017-06</t>
  </si>
  <si>
    <t>2017-08</t>
  </si>
  <si>
    <t>CohortRetention</t>
  </si>
  <si>
    <t>Cohort</t>
  </si>
  <si>
    <t>Retained3m</t>
  </si>
  <si>
    <t>Retained6m</t>
  </si>
  <si>
    <t>Retained12m</t>
  </si>
  <si>
    <t>KPIValues</t>
  </si>
  <si>
    <t>TotalWatchHours</t>
  </si>
  <si>
    <t>ActiveSubs</t>
  </si>
  <si>
    <t>TotalSubs</t>
  </si>
  <si>
    <t>ActiveRatePct</t>
  </si>
  <si>
    <t>ChurnRatePct</t>
  </si>
  <si>
    <t>AvgCompletionPct</t>
  </si>
  <si>
    <t>MRR</t>
  </si>
  <si>
    <t>ARPU</t>
  </si>
  <si>
    <t>AvgWatchHoursPerActiveSub</t>
  </si>
  <si>
    <t>WatchlistConversionPct</t>
  </si>
  <si>
    <t>HitConcentrationPct</t>
  </si>
  <si>
    <t>OriginalsSharePct</t>
  </si>
  <si>
    <t>TotalTitles</t>
  </si>
  <si>
    <t>AvgRating</t>
  </si>
  <si>
    <t>ChurnAvgTenure</t>
  </si>
  <si>
    <t>ActiveAvgTenure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</si>
</sst>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%"/>
    <numFmt numFmtId="165" formatCode="#,##0.0"/>
    <numFmt numFmtId="166" formatCode="0.0%"/>
    <numFmt numFmtId="167" formatCode="\$#,##0"/>
  </numFmts>
  <fonts count="15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0"/>
      <color rgb="FF666666"/>
      <name val="Arial"/>
      <charset val="1"/>
    </font>
    <font>
      <sz val="10"/>
      <color rgb="FFCCCCCC"/>
      <name val="Arial"/>
      <charset val="1"/>
    </font>
    <font>
      <b/>
      <sz val="22"/>
      <color rgb="FFFFFFFF"/>
      <name val="Arial"/>
      <charset val="1"/>
    </font>
    <font>
      <b/>
      <sz val="13"/>
      <color rgb="FF221F1F"/>
      <name val="Arial"/>
      <charset val="1"/>
    </font>
    <font>
      <b/>
      <sz val="11"/>
      <name val="Cambria"/>
      <charset val="1"/>
    </font>
    <font>
      <b/>
      <sz val="12"/>
      <color rgb="FFE50914"/>
      <name val="Cambria"/>
      <charset val="1"/>
    </font>
    <font>
      <sz val="10"/>
      <name val="Cambria"/>
      <charset val="1"/>
    </font>
    <font>
      <i/>
      <sz val="10"/>
      <color rgb="FF221F1F"/>
      <name val="Arial"/>
      <charset val="1"/>
    </font>
    <font>
      <b/>
      <sz val="11"/>
      <color rgb="FFE50914"/>
      <name val="Cambria"/>
      <charset val="1"/>
    </font>
    <font>
      <b/>
      <sz val="10"/>
      <color rgb="FFFFFFFF"/>
      <name val="Arial"/>
      <charset val="1"/>
    </font>
    <font>
      <sz val="10"/>
      <color rgb="FF221F1F"/>
      <name val="Arial"/>
      <charset val="1"/>
    </font>
    <font>
      <b/>
      <sz val="14"/>
      <color rgb="FFE50914"/>
      <name val="Cambria"/>
      <charset val="1"/>
    </font>
    <font>
      <b/>
      <sz val="12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E50914"/>
        <bgColor rgb="FF993300"/>
      </patternFill>
    </fill>
    <fill>
      <patternFill patternType="solid">
        <fgColor rgb="FF221F1F"/>
        <bgColor rgb="FF333300"/>
      </patternFill>
    </fill>
    <fill>
      <patternFill patternType="solid">
        <fgColor rgb="FFFFF2CC"/>
        <bgColor rgb="FFFFF7E6"/>
      </patternFill>
    </fill>
    <fill>
      <patternFill patternType="solid">
        <fgColor rgb="FFFFF7E6"/>
        <bgColor rgb="FFFFF2CC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9" fillId="5" borderId="0" xfId="0" applyFont="1" applyFill="1" applyAlignment="1">
      <alignment horizontal="left" vertical="top" wrapText="1" indent="1"/>
    </xf>
    <xf numFmtId="0" fontId="5" fillId="0" borderId="0" xfId="0" applyFont="1"/>
    <xf numFmtId="164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 wrapText="1"/>
    </xf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0" fontId="6" fillId="0" borderId="0" xfId="0" applyFont="1"/>
    <xf numFmtId="0" fontId="7" fillId="4" borderId="1" xfId="0" applyFont="1" applyFill="1" applyBorder="1"/>
    <xf numFmtId="0" fontId="8" fillId="0" borderId="0" xfId="0" applyFont="1"/>
    <xf numFmtId="3" fontId="0" fillId="0" borderId="0" xfId="0" applyNumberFormat="1"/>
    <xf numFmtId="0" fontId="10" fillId="4" borderId="1" xfId="0" applyFont="1" applyFill="1" applyBorder="1"/>
    <xf numFmtId="164" fontId="0" fillId="0" borderId="0" xfId="0" applyNumberFormat="1"/>
    <xf numFmtId="2" fontId="0" fillId="0" borderId="0" xfId="0" applyNumberFormat="1"/>
    <xf numFmtId="0" fontId="11" fillId="3" borderId="1" xfId="0" applyFont="1" applyFill="1" applyBorder="1" applyAlignment="1">
      <alignment horizontal="center"/>
    </xf>
    <xf numFmtId="0" fontId="12" fillId="0" borderId="1" xfId="0" applyFont="1" applyBorder="1"/>
    <xf numFmtId="165" fontId="0" fillId="0" borderId="0" xfId="0" applyNumberFormat="1"/>
    <xf numFmtId="166" fontId="0" fillId="0" borderId="0" xfId="0" applyNumberFormat="1"/>
    <xf numFmtId="2" fontId="13" fillId="0" borderId="0" xfId="0" applyNumberFormat="1" applyFont="1"/>
    <xf numFmtId="167" fontId="0" fillId="0" borderId="0" xfId="0" applyNumberForma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5091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7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6</xdr:col>
      <xdr:colOff>1539000</xdr:colOff>
      <xdr:row>24</xdr:row>
      <xdr:rowOff>77760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543040"/>
          <a:ext cx="6050160" cy="217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1379520</xdr:colOff>
      <xdr:row>24</xdr:row>
      <xdr:rowOff>77760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06280" y="2543040"/>
          <a:ext cx="2084400" cy="2173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3</xdr:col>
      <xdr:colOff>686880</xdr:colOff>
      <xdr:row>25</xdr:row>
      <xdr:rowOff>190800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971720"/>
          <a:ext cx="4211280" cy="304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11</xdr:col>
      <xdr:colOff>547200</xdr:colOff>
      <xdr:row>25</xdr:row>
      <xdr:rowOff>190800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074920" y="1971720"/>
          <a:ext cx="4216320" cy="3048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3</xdr:col>
      <xdr:colOff>113400</xdr:colOff>
      <xdr:row>24</xdr:row>
      <xdr:rowOff>119520</xdr:rowOff>
    </xdr:to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971720"/>
          <a:ext cx="2932920" cy="2786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11</xdr:col>
      <xdr:colOff>360360</xdr:colOff>
      <xdr:row>25</xdr:row>
      <xdr:rowOff>54720</xdr:rowOff>
    </xdr:to>
    <xdr:pic>
      <xdr:nvPicPr>
        <xdr:cNvPr id="5" name="Image 2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933800" y="1971720"/>
          <a:ext cx="4216320" cy="291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6</xdr:col>
      <xdr:colOff>406080</xdr:colOff>
      <xdr:row>41</xdr:row>
      <xdr:rowOff>77760</xdr:rowOff>
    </xdr:to>
    <xdr:pic>
      <xdr:nvPicPr>
        <xdr:cNvPr id="6" name="Image 3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5791320"/>
          <a:ext cx="6044760" cy="2173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</xdr:col>
      <xdr:colOff>681480</xdr:colOff>
      <xdr:row>24</xdr:row>
      <xdr:rowOff>124560</xdr:rowOff>
    </xdr:to>
    <xdr:pic>
      <xdr:nvPicPr>
        <xdr:cNvPr id="7" name="Image 1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971720"/>
          <a:ext cx="4205880" cy="2791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11</xdr:col>
      <xdr:colOff>256680</xdr:colOff>
      <xdr:row>24</xdr:row>
      <xdr:rowOff>109080</xdr:rowOff>
    </xdr:to>
    <xdr:pic>
      <xdr:nvPicPr>
        <xdr:cNvPr id="8" name="Image 2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933800" y="1971720"/>
          <a:ext cx="4205880" cy="2775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4</xdr:col>
      <xdr:colOff>681480</xdr:colOff>
      <xdr:row>44</xdr:row>
      <xdr:rowOff>91080</xdr:rowOff>
    </xdr:to>
    <xdr:pic>
      <xdr:nvPicPr>
        <xdr:cNvPr id="9" name="Image 3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5791320"/>
          <a:ext cx="4205880" cy="2786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2</xdr:col>
      <xdr:colOff>223560</xdr:colOff>
      <xdr:row>24</xdr:row>
      <xdr:rowOff>119520</xdr:rowOff>
    </xdr:to>
    <xdr:pic>
      <xdr:nvPicPr>
        <xdr:cNvPr id="10" name="Image 1" descr="Picture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971720"/>
          <a:ext cx="3043080" cy="2786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11</xdr:col>
      <xdr:colOff>547200</xdr:colOff>
      <xdr:row>25</xdr:row>
      <xdr:rowOff>190800</xdr:rowOff>
    </xdr:to>
    <xdr:pic>
      <xdr:nvPicPr>
        <xdr:cNvPr id="11" name="Image 2" descr="Picture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638680" y="1971720"/>
          <a:ext cx="4216320" cy="3048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2"/>
  <sheetViews>
    <sheetView showGridLines="0" zoomScaleNormal="100" workbookViewId="0">
      <selection sqref="A1:J2"/>
    </sheetView>
  </sheetViews>
  <sheetFormatPr defaultColWidth="8.6640625" defaultRowHeight="14.25" x14ac:dyDescent="0.45"/>
  <cols>
    <col min="1" max="1" width="12" customWidth="1"/>
    <col min="2" max="4" width="10" customWidth="1"/>
    <col min="5" max="5" width="12" customWidth="1"/>
    <col min="6" max="6" width="10" customWidth="1"/>
    <col min="7" max="7" width="24" customWidth="1"/>
    <col min="8" max="8" width="10" customWidth="1"/>
    <col min="9" max="9" width="14" customWidth="1"/>
    <col min="10" max="10" width="10" customWidth="1"/>
  </cols>
  <sheetData>
    <row r="1" spans="1:10" ht="27.75" customHeight="1" x14ac:dyDescent="0.4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6" customHeight="1" x14ac:dyDescent="0.45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5" customHeight="1" x14ac:dyDescent="0.45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</row>
    <row r="5" spans="1:10" ht="15" customHeight="1" x14ac:dyDescent="0.45">
      <c r="A5" s="5" t="s">
        <v>2</v>
      </c>
      <c r="B5" s="5"/>
      <c r="C5" s="5" t="s">
        <v>3</v>
      </c>
      <c r="D5" s="5"/>
      <c r="E5" s="5" t="s">
        <v>4</v>
      </c>
      <c r="F5" s="5"/>
      <c r="G5" s="5" t="s">
        <v>5</v>
      </c>
      <c r="H5" s="5"/>
      <c r="I5" s="5" t="s">
        <v>6</v>
      </c>
      <c r="J5" s="5"/>
    </row>
    <row r="6" spans="1:10" ht="15" customHeight="1" x14ac:dyDescent="0.45">
      <c r="A6" s="4">
        <f>INDEX(Data!$B$502:$B$517,MATCH("TotalWatchHours",Data!$A$502:$A$517,0))</f>
        <v>3333467.733</v>
      </c>
      <c r="B6" s="4"/>
      <c r="C6" s="4">
        <f>INDEX(Data!$B$502:$B$517,MATCH("TotalSubs",Data!$A$502:$A$517,0))</f>
        <v>15000</v>
      </c>
      <c r="D6" s="4"/>
      <c r="E6" s="3">
        <f>INDEX(Data!$B$502:$B$517,MATCH("ActiveRatePct",Data!$A$502:$A$517,0))</f>
        <v>74.66</v>
      </c>
      <c r="F6" s="3"/>
      <c r="G6" s="3">
        <f>INDEX(Data!$B$502:$B$517,MATCH("ChurnRatePct",Data!$A$502:$A$517,0))</f>
        <v>25.34</v>
      </c>
      <c r="H6" s="3"/>
      <c r="I6" s="3">
        <f>INDEX(Data!$B$502:$B$517,MATCH("AvgCompletionPct",Data!$A$502:$A$517,0))</f>
        <v>65.311000000000007</v>
      </c>
      <c r="J6" s="3"/>
    </row>
    <row r="7" spans="1:10" ht="15" customHeight="1" x14ac:dyDescent="0.45">
      <c r="A7" s="4"/>
      <c r="B7" s="4"/>
      <c r="C7" s="4"/>
      <c r="D7" s="4"/>
      <c r="E7" s="3"/>
      <c r="F7" s="3"/>
      <c r="G7" s="3"/>
      <c r="H7" s="3"/>
      <c r="I7" s="3"/>
      <c r="J7" s="3"/>
    </row>
    <row r="9" spans="1:10" ht="15.75" customHeight="1" x14ac:dyDescent="0.5">
      <c r="A9" s="2" t="s">
        <v>7</v>
      </c>
      <c r="B9" s="2"/>
      <c r="C9" s="2"/>
      <c r="D9" s="2"/>
      <c r="E9" s="8" t="s">
        <v>8</v>
      </c>
      <c r="F9" s="9">
        <v>2026</v>
      </c>
    </row>
    <row r="10" spans="1:10" ht="15" customHeight="1" x14ac:dyDescent="0.45">
      <c r="G10" s="10" t="s">
        <v>9</v>
      </c>
      <c r="I10" s="11">
        <f>SUMIFS(Data!$B$4:$B$113,Data!$D$4:$D$113,$F$9)</f>
        <v>2225299.0999999996</v>
      </c>
    </row>
    <row r="11" spans="1:10" ht="15" customHeight="1" x14ac:dyDescent="0.45">
      <c r="G11" s="10" t="s">
        <v>10</v>
      </c>
      <c r="I11" s="11">
        <f>SUMIFS(Data!$C$4:$C$113,Data!$D$4:$D$113,$F$9)</f>
        <v>432509</v>
      </c>
    </row>
    <row r="13" spans="1:10" ht="15.75" customHeight="1" x14ac:dyDescent="0.5">
      <c r="A13" s="2" t="s">
        <v>11</v>
      </c>
      <c r="B13" s="2"/>
      <c r="C13" s="2"/>
      <c r="D13" s="2"/>
      <c r="E13" s="2"/>
      <c r="F13" s="2"/>
      <c r="G13" s="2"/>
      <c r="H13" s="2"/>
    </row>
    <row r="32" spans="1:2" ht="15" customHeight="1" x14ac:dyDescent="0.45">
      <c r="A32" t="s">
        <v>12</v>
      </c>
      <c r="B32" t="s">
        <v>13</v>
      </c>
    </row>
    <row r="33" spans="1:9" ht="15" customHeight="1" x14ac:dyDescent="0.45">
      <c r="A33" t="s">
        <v>14</v>
      </c>
      <c r="B33">
        <f>INDEX(Data!$B$502:$B$517,MATCH("ActiveSubs",Data!$A$502:$A$517,0))</f>
        <v>11199</v>
      </c>
    </row>
    <row r="34" spans="1:9" ht="15" customHeight="1" x14ac:dyDescent="0.45">
      <c r="A34" t="s">
        <v>15</v>
      </c>
      <c r="B34">
        <f>INDEX(Data!$B$502:$B$517,MATCH("TotalSubs",Data!$A$502:$A$517,0))-INDEX(Data!$B$502:$B$517,MATCH("ActiveSubs",Data!$A$502:$A$517,0))</f>
        <v>3801</v>
      </c>
    </row>
    <row r="40" spans="1:9" ht="15" customHeight="1" x14ac:dyDescent="0.45">
      <c r="A40" s="1" t="s">
        <v>16</v>
      </c>
      <c r="B40" s="1"/>
      <c r="C40" s="1"/>
      <c r="D40" s="1"/>
      <c r="E40" s="1"/>
      <c r="F40" s="1"/>
      <c r="G40" s="1"/>
      <c r="H40" s="1"/>
      <c r="I40" s="1"/>
    </row>
    <row r="41" spans="1:9" ht="15" customHeight="1" x14ac:dyDescent="0.45">
      <c r="A41" s="1"/>
      <c r="B41" s="1"/>
      <c r="C41" s="1"/>
      <c r="D41" s="1"/>
      <c r="E41" s="1"/>
      <c r="F41" s="1"/>
      <c r="G41" s="1"/>
      <c r="H41" s="1"/>
      <c r="I41" s="1"/>
    </row>
    <row r="42" spans="1:9" ht="15" customHeight="1" x14ac:dyDescent="0.45">
      <c r="A42" s="1"/>
      <c r="B42" s="1"/>
      <c r="C42" s="1"/>
      <c r="D42" s="1"/>
      <c r="E42" s="1"/>
      <c r="F42" s="1"/>
      <c r="G42" s="1"/>
      <c r="H42" s="1"/>
      <c r="I42" s="1"/>
    </row>
  </sheetData>
  <mergeCells count="15">
    <mergeCell ref="A9:D9"/>
    <mergeCell ref="A13:H13"/>
    <mergeCell ref="A40:I42"/>
    <mergeCell ref="A6:B7"/>
    <mergeCell ref="C6:D7"/>
    <mergeCell ref="E6:F7"/>
    <mergeCell ref="G6:H7"/>
    <mergeCell ref="I6:J7"/>
    <mergeCell ref="A1:J2"/>
    <mergeCell ref="A3:J3"/>
    <mergeCell ref="A5:B5"/>
    <mergeCell ref="C5:D5"/>
    <mergeCell ref="E5:F5"/>
    <mergeCell ref="G5:H5"/>
    <mergeCell ref="I5:J5"/>
  </mergeCells>
  <dataValidations count="1">
    <dataValidation type="list" sqref="F9" xr:uid="{00000000-0002-0000-0000-000000000000}">
      <formula1>"2017,2018,2019,2020,2021,2022,2023,2024,2025,2026"</formula1>
      <formula2>0</formula2>
    </dataValidation>
  </dataValidations>
  <pageMargins left="0.3" right="0.3" top="0.3" bottom="0.3" header="0.511811023622047" footer="0.511811023622047"/>
  <pageSetup paperSize="9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46"/>
  <sheetViews>
    <sheetView showGridLines="0" zoomScaleNormal="100" workbookViewId="0">
      <selection sqref="A1:J2"/>
    </sheetView>
  </sheetViews>
  <sheetFormatPr defaultColWidth="8.6640625" defaultRowHeight="14.25" x14ac:dyDescent="0.45"/>
  <cols>
    <col min="1" max="1" width="26" customWidth="1"/>
    <col min="2" max="2" width="14" customWidth="1"/>
    <col min="3" max="3" width="10" customWidth="1"/>
    <col min="4" max="4" width="13" customWidth="1"/>
    <col min="5" max="5" width="9" customWidth="1"/>
  </cols>
  <sheetData>
    <row r="1" spans="1:10" ht="27.75" customHeight="1" x14ac:dyDescent="0.45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</row>
    <row r="2" spans="1:10" ht="6" customHeight="1" x14ac:dyDescent="0.45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5" customHeight="1" x14ac:dyDescent="0.45">
      <c r="A3" s="6" t="s">
        <v>18</v>
      </c>
      <c r="B3" s="6"/>
      <c r="C3" s="6"/>
      <c r="D3" s="6"/>
      <c r="E3" s="6"/>
      <c r="F3" s="6"/>
      <c r="G3" s="6"/>
      <c r="H3" s="6"/>
      <c r="I3" s="6"/>
      <c r="J3" s="6"/>
    </row>
    <row r="5" spans="1:10" ht="15.75" customHeight="1" x14ac:dyDescent="0.5">
      <c r="A5" s="2" t="s">
        <v>19</v>
      </c>
      <c r="B5" s="2"/>
      <c r="C5" s="2"/>
      <c r="D5" s="12" t="s">
        <v>20</v>
      </c>
    </row>
    <row r="6" spans="1:10" ht="15" customHeight="1" x14ac:dyDescent="0.45">
      <c r="E6" t="s">
        <v>21</v>
      </c>
      <c r="F6" s="11">
        <f>INDEX(Data!$B$117:$B$133,MATCH($D$5,Data!$A$117:$A$133,0))</f>
        <v>501884.5</v>
      </c>
    </row>
    <row r="7" spans="1:10" ht="15" customHeight="1" x14ac:dyDescent="0.45">
      <c r="E7" t="s">
        <v>22</v>
      </c>
      <c r="F7" s="13">
        <f>INDEX(Data!$C$117:$C$133,MATCH($D$5,Data!$A$117:$A$133,0))</f>
        <v>65.099999999999994</v>
      </c>
    </row>
    <row r="8" spans="1:10" ht="15" customHeight="1" x14ac:dyDescent="0.45">
      <c r="E8" t="s">
        <v>23</v>
      </c>
      <c r="F8" s="14">
        <f>INDEX(Data!$E$117:$E$133,MATCH($D$5,Data!$A$117:$A$133,0))</f>
        <v>0.16</v>
      </c>
    </row>
    <row r="10" spans="1:10" ht="15.75" customHeight="1" x14ac:dyDescent="0.5">
      <c r="A10" s="2" t="s">
        <v>24</v>
      </c>
      <c r="B10" s="2"/>
      <c r="C10" s="2"/>
      <c r="D10" s="2"/>
      <c r="E10" s="2"/>
    </row>
    <row r="30" spans="1:5" ht="15.75" customHeight="1" x14ac:dyDescent="0.5">
      <c r="A30" s="2" t="s">
        <v>25</v>
      </c>
      <c r="B30" s="2"/>
      <c r="C30" s="2"/>
      <c r="D30" s="2"/>
      <c r="E30" s="2"/>
    </row>
    <row r="31" spans="1:5" ht="15" customHeight="1" x14ac:dyDescent="0.45">
      <c r="A31" s="15" t="s">
        <v>26</v>
      </c>
      <c r="B31" s="15" t="s">
        <v>27</v>
      </c>
      <c r="C31" s="15" t="s">
        <v>28</v>
      </c>
      <c r="D31" s="15" t="s">
        <v>29</v>
      </c>
      <c r="E31" s="15" t="s">
        <v>30</v>
      </c>
    </row>
    <row r="32" spans="1:5" ht="15" customHeight="1" x14ac:dyDescent="0.45">
      <c r="A32" s="16" t="s">
        <v>31</v>
      </c>
      <c r="B32" s="16" t="s">
        <v>32</v>
      </c>
      <c r="C32" s="16" t="s">
        <v>33</v>
      </c>
      <c r="D32" s="16">
        <v>35443.4</v>
      </c>
      <c r="E32" s="16">
        <v>3482</v>
      </c>
    </row>
    <row r="33" spans="1:9" ht="15" customHeight="1" x14ac:dyDescent="0.45">
      <c r="A33" s="16" t="s">
        <v>34</v>
      </c>
      <c r="B33" s="16" t="s">
        <v>35</v>
      </c>
      <c r="C33" s="16" t="s">
        <v>33</v>
      </c>
      <c r="D33" s="16">
        <v>22538.2</v>
      </c>
      <c r="E33" s="16">
        <v>4436</v>
      </c>
    </row>
    <row r="34" spans="1:9" ht="15" customHeight="1" x14ac:dyDescent="0.45">
      <c r="A34" s="16" t="s">
        <v>36</v>
      </c>
      <c r="B34" s="16" t="s">
        <v>37</v>
      </c>
      <c r="C34" s="16" t="s">
        <v>33</v>
      </c>
      <c r="D34" s="16">
        <v>16660</v>
      </c>
      <c r="E34" s="16">
        <v>3028</v>
      </c>
    </row>
    <row r="35" spans="1:9" ht="15" customHeight="1" x14ac:dyDescent="0.45">
      <c r="A35" s="16" t="s">
        <v>38</v>
      </c>
      <c r="B35" s="16" t="s">
        <v>20</v>
      </c>
      <c r="C35" s="16" t="s">
        <v>33</v>
      </c>
      <c r="D35" s="16">
        <v>14778.6</v>
      </c>
      <c r="E35" s="16">
        <v>614</v>
      </c>
    </row>
    <row r="36" spans="1:9" ht="15" customHeight="1" x14ac:dyDescent="0.45">
      <c r="A36" s="16" t="s">
        <v>39</v>
      </c>
      <c r="B36" s="16" t="s">
        <v>40</v>
      </c>
      <c r="C36" s="16" t="s">
        <v>33</v>
      </c>
      <c r="D36" s="16">
        <v>13963.5</v>
      </c>
      <c r="E36" s="16">
        <v>1792</v>
      </c>
    </row>
    <row r="37" spans="1:9" ht="15" customHeight="1" x14ac:dyDescent="0.45">
      <c r="A37" s="16" t="s">
        <v>41</v>
      </c>
      <c r="B37" s="16" t="s">
        <v>42</v>
      </c>
      <c r="C37" s="16" t="s">
        <v>33</v>
      </c>
      <c r="D37" s="16">
        <v>11902.9</v>
      </c>
      <c r="E37" s="16">
        <v>1043</v>
      </c>
    </row>
    <row r="38" spans="1:9" ht="15" customHeight="1" x14ac:dyDescent="0.45">
      <c r="A38" s="16" t="s">
        <v>43</v>
      </c>
      <c r="B38" s="16" t="s">
        <v>44</v>
      </c>
      <c r="C38" s="16" t="s">
        <v>33</v>
      </c>
      <c r="D38" s="16">
        <v>11440</v>
      </c>
      <c r="E38" s="16">
        <v>1513</v>
      </c>
    </row>
    <row r="39" spans="1:9" ht="15" customHeight="1" x14ac:dyDescent="0.45">
      <c r="A39" s="16" t="s">
        <v>45</v>
      </c>
      <c r="B39" s="16" t="s">
        <v>40</v>
      </c>
      <c r="C39" s="16" t="s">
        <v>33</v>
      </c>
      <c r="D39" s="16">
        <v>10967.3</v>
      </c>
      <c r="E39" s="16">
        <v>565</v>
      </c>
    </row>
    <row r="40" spans="1:9" ht="15" customHeight="1" x14ac:dyDescent="0.45">
      <c r="A40" s="16" t="s">
        <v>46</v>
      </c>
      <c r="B40" s="16" t="s">
        <v>20</v>
      </c>
      <c r="C40" s="16" t="s">
        <v>33</v>
      </c>
      <c r="D40" s="16">
        <v>10844.8</v>
      </c>
      <c r="E40" s="16">
        <v>460</v>
      </c>
    </row>
    <row r="41" spans="1:9" ht="15" customHeight="1" x14ac:dyDescent="0.45">
      <c r="A41" s="16" t="s">
        <v>47</v>
      </c>
      <c r="B41" s="16" t="s">
        <v>48</v>
      </c>
      <c r="C41" s="16" t="s">
        <v>33</v>
      </c>
      <c r="D41" s="16">
        <v>10266.9</v>
      </c>
      <c r="E41" s="16">
        <v>338</v>
      </c>
    </row>
    <row r="44" spans="1:9" ht="15" customHeight="1" x14ac:dyDescent="0.45">
      <c r="A44" s="1" t="s">
        <v>49</v>
      </c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45">
      <c r="A45" s="1"/>
      <c r="B45" s="1"/>
      <c r="C45" s="1"/>
      <c r="D45" s="1"/>
      <c r="E45" s="1"/>
      <c r="F45" s="1"/>
      <c r="G45" s="1"/>
      <c r="H45" s="1"/>
      <c r="I45" s="1"/>
    </row>
    <row r="46" spans="1:9" ht="15" customHeight="1" x14ac:dyDescent="0.45">
      <c r="A46" s="1"/>
      <c r="B46" s="1"/>
      <c r="C46" s="1"/>
      <c r="D46" s="1"/>
      <c r="E46" s="1"/>
      <c r="F46" s="1"/>
      <c r="G46" s="1"/>
      <c r="H46" s="1"/>
      <c r="I46" s="1"/>
    </row>
  </sheetData>
  <mergeCells count="6">
    <mergeCell ref="A44:I46"/>
    <mergeCell ref="A1:J2"/>
    <mergeCell ref="A3:J3"/>
    <mergeCell ref="A5:C5"/>
    <mergeCell ref="A10:E10"/>
    <mergeCell ref="A30:E30"/>
  </mergeCells>
  <pageMargins left="0.3" right="0.3" top="0.3" bottom="0.3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Data!$A$117:$A$133</xm:f>
          </x14:formula1>
          <x14:formula2>
            <xm:f>0</xm:f>
          </x14:formula2>
          <xm:sqref>D5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50"/>
  <sheetViews>
    <sheetView showGridLines="0" topLeftCell="A15" zoomScaleNormal="100" workbookViewId="0">
      <selection sqref="A1:J2"/>
    </sheetView>
  </sheetViews>
  <sheetFormatPr defaultColWidth="8.6640625" defaultRowHeight="14.25" x14ac:dyDescent="0.45"/>
  <cols>
    <col min="1" max="1" width="16" customWidth="1"/>
    <col min="2" max="2" width="14" customWidth="1"/>
    <col min="3" max="4" width="10" customWidth="1"/>
    <col min="5" max="5" width="20" customWidth="1"/>
    <col min="6" max="7" width="10" customWidth="1"/>
  </cols>
  <sheetData>
    <row r="1" spans="1:10" ht="27.75" customHeight="1" x14ac:dyDescent="0.45">
      <c r="A1" s="7" t="s">
        <v>50</v>
      </c>
      <c r="B1" s="7"/>
      <c r="C1" s="7"/>
      <c r="D1" s="7"/>
      <c r="E1" s="7"/>
      <c r="F1" s="7"/>
      <c r="G1" s="7"/>
      <c r="H1" s="7"/>
      <c r="I1" s="7"/>
      <c r="J1" s="7"/>
    </row>
    <row r="2" spans="1:10" ht="6" customHeight="1" x14ac:dyDescent="0.45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5" customHeight="1" x14ac:dyDescent="0.45">
      <c r="A3" s="6" t="s">
        <v>51</v>
      </c>
      <c r="B3" s="6"/>
      <c r="C3" s="6"/>
      <c r="D3" s="6"/>
      <c r="E3" s="6"/>
      <c r="F3" s="6"/>
      <c r="G3" s="6"/>
      <c r="H3" s="6"/>
      <c r="I3" s="6"/>
      <c r="J3" s="6"/>
    </row>
    <row r="5" spans="1:10" ht="15.75" customHeight="1" x14ac:dyDescent="0.5">
      <c r="A5" s="2" t="s">
        <v>52</v>
      </c>
      <c r="B5" s="2"/>
      <c r="C5" s="2"/>
      <c r="D5" s="12" t="s">
        <v>53</v>
      </c>
    </row>
    <row r="6" spans="1:10" ht="15" customHeight="1" x14ac:dyDescent="0.45">
      <c r="E6" t="s">
        <v>54</v>
      </c>
      <c r="F6" s="11">
        <f>INDEX(Data!$B$151:$B$154,MATCH($D$5,Data!$A$151:$A$154,0))</f>
        <v>4442</v>
      </c>
    </row>
    <row r="7" spans="1:10" ht="15" customHeight="1" x14ac:dyDescent="0.45">
      <c r="E7" t="s">
        <v>55</v>
      </c>
      <c r="F7" s="17">
        <f>INDEX(Data!$D$151:$D$154,MATCH($D$5,Data!$A$151:$A$154,0))</f>
        <v>228.8</v>
      </c>
    </row>
    <row r="10" spans="1:10" ht="15.75" customHeight="1" x14ac:dyDescent="0.5">
      <c r="A10" s="2" t="s">
        <v>56</v>
      </c>
      <c r="B10" s="2"/>
      <c r="C10" s="2"/>
      <c r="D10" s="2"/>
      <c r="E10" s="2"/>
    </row>
    <row r="30" spans="1:7" ht="15.75" customHeight="1" x14ac:dyDescent="0.5">
      <c r="A30" s="2" t="s">
        <v>57</v>
      </c>
      <c r="B30" s="2"/>
      <c r="C30" s="2"/>
      <c r="D30" s="2"/>
      <c r="E30" s="2"/>
      <c r="F30" s="2"/>
      <c r="G30" s="2"/>
    </row>
    <row r="48" spans="1:9" ht="15" customHeight="1" x14ac:dyDescent="0.45">
      <c r="A48" s="1" t="s">
        <v>58</v>
      </c>
      <c r="B48" s="1"/>
      <c r="C48" s="1"/>
      <c r="D48" s="1"/>
      <c r="E48" s="1"/>
      <c r="F48" s="1"/>
      <c r="G48" s="1"/>
      <c r="H48" s="1"/>
      <c r="I48" s="1"/>
    </row>
    <row r="49" spans="1:9" ht="15" customHeight="1" x14ac:dyDescent="0.4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45">
      <c r="A50" s="1"/>
      <c r="B50" s="1"/>
      <c r="C50" s="1"/>
      <c r="D50" s="1"/>
      <c r="E50" s="1"/>
      <c r="F50" s="1"/>
      <c r="G50" s="1"/>
      <c r="H50" s="1"/>
      <c r="I50" s="1"/>
    </row>
  </sheetData>
  <mergeCells count="6">
    <mergeCell ref="A48:I50"/>
    <mergeCell ref="A1:J2"/>
    <mergeCell ref="A3:J3"/>
    <mergeCell ref="A5:C5"/>
    <mergeCell ref="A10:E10"/>
    <mergeCell ref="A30:G30"/>
  </mergeCells>
  <pageMargins left="0.3" right="0.3" top="0.3" bottom="0.3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Data!$A$151:$A$154</xm:f>
          </x14:formula1>
          <x14:formula2>
            <xm:f>0</xm:f>
          </x14:formula2>
          <xm:sqref>D5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0"/>
  <sheetViews>
    <sheetView showGridLines="0" zoomScaleNormal="100" workbookViewId="0">
      <selection sqref="A1:J2"/>
    </sheetView>
  </sheetViews>
  <sheetFormatPr defaultColWidth="8.6640625" defaultRowHeight="14.25" x14ac:dyDescent="0.45"/>
  <cols>
    <col min="1" max="1" width="16" customWidth="1"/>
    <col min="2" max="2" width="14" customWidth="1"/>
    <col min="3" max="4" width="10" customWidth="1"/>
    <col min="5" max="5" width="20" customWidth="1"/>
    <col min="6" max="8" width="10" customWidth="1"/>
  </cols>
  <sheetData>
    <row r="1" spans="1:10" ht="27.75" customHeight="1" x14ac:dyDescent="0.45">
      <c r="A1" s="7" t="s">
        <v>59</v>
      </c>
      <c r="B1" s="7"/>
      <c r="C1" s="7"/>
      <c r="D1" s="7"/>
      <c r="E1" s="7"/>
      <c r="F1" s="7"/>
      <c r="G1" s="7"/>
      <c r="H1" s="7"/>
      <c r="I1" s="7"/>
      <c r="J1" s="7"/>
    </row>
    <row r="2" spans="1:10" ht="6" customHeight="1" x14ac:dyDescent="0.45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5" customHeight="1" x14ac:dyDescent="0.45">
      <c r="A3" s="6" t="s">
        <v>60</v>
      </c>
      <c r="B3" s="6"/>
      <c r="C3" s="6"/>
      <c r="D3" s="6"/>
      <c r="E3" s="6"/>
      <c r="F3" s="6"/>
      <c r="G3" s="6"/>
      <c r="H3" s="6"/>
      <c r="I3" s="6"/>
      <c r="J3" s="6"/>
    </row>
    <row r="5" spans="1:10" ht="15.75" customHeight="1" x14ac:dyDescent="0.5">
      <c r="A5" s="2" t="s">
        <v>61</v>
      </c>
      <c r="B5" s="2"/>
      <c r="C5" s="2"/>
      <c r="D5" s="12" t="s">
        <v>62</v>
      </c>
    </row>
    <row r="6" spans="1:10" ht="15" customHeight="1" x14ac:dyDescent="0.45">
      <c r="E6" t="s">
        <v>63</v>
      </c>
      <c r="F6" s="11">
        <f>INDEX(Data!$B$171:$B$177,MATCH($D$5,Data!$A$171:$A$177,0))</f>
        <v>221446</v>
      </c>
    </row>
    <row r="7" spans="1:10" ht="15" customHeight="1" x14ac:dyDescent="0.45">
      <c r="E7" t="s">
        <v>64</v>
      </c>
      <c r="F7" s="18">
        <f>F6/SUM(Data!$B$171:$B$177)</f>
        <v>0.34068615384615386</v>
      </c>
    </row>
    <row r="10" spans="1:10" ht="15.75" customHeight="1" x14ac:dyDescent="0.5">
      <c r="A10" s="2" t="s">
        <v>65</v>
      </c>
      <c r="B10" s="2"/>
      <c r="C10" s="2"/>
      <c r="D10" s="2"/>
      <c r="E10" s="2"/>
    </row>
    <row r="30" spans="1:8" ht="15.75" customHeight="1" x14ac:dyDescent="0.5">
      <c r="A30" s="2" t="s">
        <v>66</v>
      </c>
      <c r="B30" s="2"/>
      <c r="C30" s="2"/>
      <c r="D30" s="2"/>
      <c r="E30" s="2"/>
    </row>
    <row r="31" spans="1:8" ht="17.25" customHeight="1" x14ac:dyDescent="0.45">
      <c r="F31" s="8" t="s">
        <v>67</v>
      </c>
      <c r="H31" s="19">
        <f>SUMPRODUCT(Data!$A$192:$A$197,Data!$B$192:$B$197)/SUM(Data!$B$192:$B$197)</f>
        <v>3.5507692307692307</v>
      </c>
    </row>
    <row r="48" spans="1:9" ht="15" customHeight="1" x14ac:dyDescent="0.45">
      <c r="A48" s="1" t="s">
        <v>68</v>
      </c>
      <c r="B48" s="1"/>
      <c r="C48" s="1"/>
      <c r="D48" s="1"/>
      <c r="E48" s="1"/>
      <c r="F48" s="1"/>
      <c r="G48" s="1"/>
      <c r="H48" s="1"/>
      <c r="I48" s="1"/>
    </row>
    <row r="49" spans="1:9" ht="15" customHeight="1" x14ac:dyDescent="0.4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45">
      <c r="A50" s="1"/>
      <c r="B50" s="1"/>
      <c r="C50" s="1"/>
      <c r="D50" s="1"/>
      <c r="E50" s="1"/>
      <c r="F50" s="1"/>
      <c r="G50" s="1"/>
      <c r="H50" s="1"/>
      <c r="I50" s="1"/>
    </row>
  </sheetData>
  <mergeCells count="6">
    <mergeCell ref="A48:I50"/>
    <mergeCell ref="A1:J2"/>
    <mergeCell ref="A3:J3"/>
    <mergeCell ref="A5:C5"/>
    <mergeCell ref="A10:E10"/>
    <mergeCell ref="A30:E30"/>
  </mergeCells>
  <pageMargins left="0.3" right="0.3" top="0.3" bottom="0.3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Data!$A$171:$A$177</xm:f>
          </x14:formula1>
          <x14:formula2>
            <xm:f>0</xm:f>
          </x14:formula2>
          <xm:sqref>D5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56"/>
  <sheetViews>
    <sheetView showGridLines="0" topLeftCell="A33" zoomScaleNormal="100" workbookViewId="0">
      <selection sqref="A1:J2"/>
    </sheetView>
  </sheetViews>
  <sheetFormatPr defaultColWidth="8.6640625" defaultRowHeight="14.25" x14ac:dyDescent="0.45"/>
  <cols>
    <col min="1" max="1" width="26" customWidth="1"/>
    <col min="2" max="3" width="14" customWidth="1"/>
    <col min="4" max="5" width="13" customWidth="1"/>
  </cols>
  <sheetData>
    <row r="1" spans="1:10" ht="27.75" customHeight="1" x14ac:dyDescent="0.45">
      <c r="A1" s="7" t="s">
        <v>69</v>
      </c>
      <c r="B1" s="7"/>
      <c r="C1" s="7"/>
      <c r="D1" s="7"/>
      <c r="E1" s="7"/>
      <c r="F1" s="7"/>
      <c r="G1" s="7"/>
      <c r="H1" s="7"/>
      <c r="I1" s="7"/>
      <c r="J1" s="7"/>
    </row>
    <row r="2" spans="1:10" ht="6" customHeight="1" x14ac:dyDescent="0.45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5" customHeight="1" x14ac:dyDescent="0.45">
      <c r="A3" s="6" t="s">
        <v>70</v>
      </c>
      <c r="B3" s="6"/>
      <c r="C3" s="6"/>
      <c r="D3" s="6"/>
      <c r="E3" s="6"/>
      <c r="F3" s="6"/>
      <c r="G3" s="6"/>
      <c r="H3" s="6"/>
      <c r="I3" s="6"/>
      <c r="J3" s="6"/>
    </row>
    <row r="5" spans="1:10" ht="15.75" customHeight="1" x14ac:dyDescent="0.5">
      <c r="A5" s="2" t="s">
        <v>71</v>
      </c>
      <c r="B5" s="2"/>
      <c r="C5" s="2"/>
      <c r="D5" s="2"/>
      <c r="E5" s="12" t="s">
        <v>20</v>
      </c>
    </row>
    <row r="6" spans="1:10" ht="15" customHeight="1" x14ac:dyDescent="0.45">
      <c r="F6" t="s">
        <v>72</v>
      </c>
      <c r="G6" s="20">
        <f>INDEX(Data!$D$117:$D$133,MATCH($E$5,Data!$A$117:$A$133,0))</f>
        <v>3204980030</v>
      </c>
    </row>
    <row r="7" spans="1:10" ht="15" customHeight="1" x14ac:dyDescent="0.45">
      <c r="F7" t="s">
        <v>73</v>
      </c>
      <c r="G7" s="14">
        <f>INDEX(Data!$E$117:$E$133,MATCH($E$5,Data!$A$117:$A$133,0))</f>
        <v>0.16</v>
      </c>
    </row>
    <row r="10" spans="1:10" ht="15.75" customHeight="1" x14ac:dyDescent="0.5">
      <c r="A10" s="2" t="s">
        <v>74</v>
      </c>
      <c r="B10" s="2"/>
      <c r="C10" s="2"/>
      <c r="D10" s="2"/>
      <c r="E10" s="2"/>
    </row>
    <row r="30" spans="1:5" ht="15.75" customHeight="1" x14ac:dyDescent="0.5">
      <c r="A30" s="2" t="s">
        <v>75</v>
      </c>
      <c r="B30" s="2"/>
      <c r="C30" s="2"/>
      <c r="D30" s="2"/>
      <c r="E30" s="2"/>
    </row>
    <row r="31" spans="1:5" ht="15" customHeight="1" x14ac:dyDescent="0.45">
      <c r="A31" s="15" t="s">
        <v>26</v>
      </c>
      <c r="B31" s="15" t="s">
        <v>27</v>
      </c>
      <c r="C31" s="15" t="s">
        <v>76</v>
      </c>
      <c r="D31" s="15" t="s">
        <v>29</v>
      </c>
      <c r="E31" s="15" t="s">
        <v>77</v>
      </c>
    </row>
    <row r="32" spans="1:5" ht="15" customHeight="1" x14ac:dyDescent="0.45">
      <c r="A32" s="16" t="s">
        <v>78</v>
      </c>
      <c r="B32" s="16" t="s">
        <v>40</v>
      </c>
      <c r="C32" s="16" t="s">
        <v>79</v>
      </c>
      <c r="D32" s="16">
        <v>60.4</v>
      </c>
      <c r="E32" s="16">
        <v>1205469</v>
      </c>
    </row>
    <row r="33" spans="1:5" ht="15" customHeight="1" x14ac:dyDescent="0.45">
      <c r="A33" s="16" t="s">
        <v>80</v>
      </c>
      <c r="B33" s="16" t="s">
        <v>35</v>
      </c>
      <c r="C33" s="16" t="s">
        <v>79</v>
      </c>
      <c r="D33" s="16">
        <v>4916</v>
      </c>
      <c r="E33" s="16">
        <v>1823631</v>
      </c>
    </row>
    <row r="34" spans="1:5" ht="15" customHeight="1" x14ac:dyDescent="0.45">
      <c r="A34" s="16" t="s">
        <v>81</v>
      </c>
      <c r="B34" s="16" t="s">
        <v>20</v>
      </c>
      <c r="C34" s="16" t="s">
        <v>79</v>
      </c>
      <c r="D34" s="16">
        <v>125.3</v>
      </c>
      <c r="E34" s="16">
        <v>3229170</v>
      </c>
    </row>
    <row r="35" spans="1:5" ht="15" customHeight="1" x14ac:dyDescent="0.45">
      <c r="A35" s="16" t="s">
        <v>82</v>
      </c>
      <c r="B35" s="16" t="s">
        <v>20</v>
      </c>
      <c r="C35" s="16" t="s">
        <v>83</v>
      </c>
      <c r="D35" s="16">
        <v>94.7</v>
      </c>
      <c r="E35" s="16">
        <v>584096</v>
      </c>
    </row>
    <row r="36" spans="1:5" ht="15" customHeight="1" x14ac:dyDescent="0.45">
      <c r="A36" s="16" t="s">
        <v>84</v>
      </c>
      <c r="B36" s="16" t="s">
        <v>85</v>
      </c>
      <c r="C36" s="16" t="s">
        <v>83</v>
      </c>
      <c r="D36" s="16">
        <v>42.6</v>
      </c>
      <c r="E36" s="16">
        <v>1221260</v>
      </c>
    </row>
    <row r="37" spans="1:5" ht="15" customHeight="1" x14ac:dyDescent="0.45">
      <c r="A37" s="16" t="s">
        <v>86</v>
      </c>
      <c r="B37" s="16" t="s">
        <v>37</v>
      </c>
      <c r="C37" s="16" t="s">
        <v>83</v>
      </c>
      <c r="D37" s="16">
        <v>36.9</v>
      </c>
      <c r="E37" s="16">
        <v>2248545</v>
      </c>
    </row>
    <row r="38" spans="1:5" ht="15" customHeight="1" x14ac:dyDescent="0.45">
      <c r="A38" s="16" t="s">
        <v>87</v>
      </c>
      <c r="B38" s="16" t="s">
        <v>88</v>
      </c>
      <c r="C38" s="16" t="s">
        <v>83</v>
      </c>
      <c r="D38" s="16">
        <v>54.1</v>
      </c>
      <c r="E38" s="16">
        <v>812877</v>
      </c>
    </row>
    <row r="39" spans="1:5" ht="15" customHeight="1" x14ac:dyDescent="0.45">
      <c r="A39" s="16" t="s">
        <v>89</v>
      </c>
      <c r="B39" s="16" t="s">
        <v>20</v>
      </c>
      <c r="C39" s="16" t="s">
        <v>83</v>
      </c>
      <c r="D39" s="16">
        <v>118.1</v>
      </c>
      <c r="E39" s="16">
        <v>2456708</v>
      </c>
    </row>
    <row r="40" spans="1:5" ht="15" customHeight="1" x14ac:dyDescent="0.45">
      <c r="A40" s="16" t="s">
        <v>90</v>
      </c>
      <c r="B40" s="16" t="s">
        <v>91</v>
      </c>
      <c r="C40" s="16" t="s">
        <v>92</v>
      </c>
      <c r="D40" s="16">
        <v>312.89999999999998</v>
      </c>
      <c r="E40" s="16">
        <v>406252</v>
      </c>
    </row>
    <row r="41" spans="1:5" ht="15" customHeight="1" x14ac:dyDescent="0.45">
      <c r="A41" s="16" t="s">
        <v>93</v>
      </c>
      <c r="B41" s="16" t="s">
        <v>42</v>
      </c>
      <c r="C41" s="16" t="s">
        <v>92</v>
      </c>
      <c r="D41" s="16">
        <v>35.700000000000003</v>
      </c>
      <c r="E41" s="16">
        <v>565188</v>
      </c>
    </row>
    <row r="42" spans="1:5" ht="15" customHeight="1" x14ac:dyDescent="0.45">
      <c r="A42" s="16" t="s">
        <v>94</v>
      </c>
      <c r="B42" s="16" t="s">
        <v>20</v>
      </c>
      <c r="C42" s="16" t="s">
        <v>92</v>
      </c>
      <c r="D42" s="16">
        <v>33.6</v>
      </c>
      <c r="E42" s="16">
        <v>2137617</v>
      </c>
    </row>
    <row r="43" spans="1:5" ht="15" customHeight="1" x14ac:dyDescent="0.45">
      <c r="A43" s="16" t="s">
        <v>95</v>
      </c>
      <c r="B43" s="16" t="s">
        <v>96</v>
      </c>
      <c r="C43" s="16" t="s">
        <v>92</v>
      </c>
      <c r="D43" s="16">
        <v>104</v>
      </c>
      <c r="E43" s="16">
        <v>197300</v>
      </c>
    </row>
    <row r="44" spans="1:5" ht="15" customHeight="1" x14ac:dyDescent="0.45">
      <c r="A44" s="16" t="s">
        <v>97</v>
      </c>
      <c r="B44" s="16" t="s">
        <v>37</v>
      </c>
      <c r="C44" s="16" t="s">
        <v>92</v>
      </c>
      <c r="D44" s="16">
        <v>158.1</v>
      </c>
      <c r="E44" s="16">
        <v>1643826</v>
      </c>
    </row>
    <row r="45" spans="1:5" ht="15" customHeight="1" x14ac:dyDescent="0.45">
      <c r="A45" s="16" t="s">
        <v>98</v>
      </c>
      <c r="B45" s="16" t="s">
        <v>48</v>
      </c>
      <c r="C45" s="16" t="s">
        <v>99</v>
      </c>
      <c r="D45" s="16">
        <v>492.8</v>
      </c>
      <c r="E45" s="16">
        <v>1564649</v>
      </c>
    </row>
    <row r="46" spans="1:5" ht="15" customHeight="1" x14ac:dyDescent="0.45">
      <c r="A46" s="16" t="s">
        <v>100</v>
      </c>
      <c r="B46" s="16" t="s">
        <v>88</v>
      </c>
      <c r="C46" s="16" t="s">
        <v>99</v>
      </c>
      <c r="D46" s="16">
        <v>201.1</v>
      </c>
      <c r="E46" s="16">
        <v>3422122</v>
      </c>
    </row>
    <row r="47" spans="1:5" ht="15" customHeight="1" x14ac:dyDescent="0.45">
      <c r="A47" s="16" t="s">
        <v>101</v>
      </c>
      <c r="B47" s="16" t="s">
        <v>35</v>
      </c>
      <c r="C47" s="16" t="s">
        <v>99</v>
      </c>
      <c r="D47" s="16">
        <v>149.80000000000001</v>
      </c>
      <c r="E47" s="16">
        <v>1379743</v>
      </c>
    </row>
    <row r="48" spans="1:5" ht="15" customHeight="1" x14ac:dyDescent="0.45">
      <c r="A48" s="16" t="s">
        <v>102</v>
      </c>
      <c r="B48" s="16" t="s">
        <v>103</v>
      </c>
      <c r="C48" s="16" t="s">
        <v>99</v>
      </c>
      <c r="D48" s="16">
        <v>190</v>
      </c>
      <c r="E48" s="16">
        <v>641557</v>
      </c>
    </row>
    <row r="49" spans="1:9" ht="15" customHeight="1" x14ac:dyDescent="0.45">
      <c r="A49" s="16" t="s">
        <v>104</v>
      </c>
      <c r="B49" s="16" t="s">
        <v>20</v>
      </c>
      <c r="C49" s="16" t="s">
        <v>99</v>
      </c>
      <c r="D49" s="16">
        <v>299.60000000000002</v>
      </c>
      <c r="E49" s="16">
        <v>766136</v>
      </c>
    </row>
    <row r="50" spans="1:9" ht="15" customHeight="1" x14ac:dyDescent="0.45">
      <c r="A50" s="16" t="s">
        <v>105</v>
      </c>
      <c r="B50" s="16" t="s">
        <v>32</v>
      </c>
      <c r="C50" s="16" t="s">
        <v>106</v>
      </c>
      <c r="D50" s="16">
        <v>91.4</v>
      </c>
      <c r="E50" s="16">
        <v>595214</v>
      </c>
    </row>
    <row r="51" spans="1:9" ht="15" customHeight="1" x14ac:dyDescent="0.45">
      <c r="A51" s="16" t="s">
        <v>107</v>
      </c>
      <c r="B51" s="16" t="s">
        <v>32</v>
      </c>
      <c r="C51" s="16" t="s">
        <v>106</v>
      </c>
      <c r="D51" s="16">
        <v>255.9</v>
      </c>
      <c r="E51" s="16">
        <v>792320</v>
      </c>
    </row>
    <row r="54" spans="1:9" ht="15" customHeight="1" x14ac:dyDescent="0.45">
      <c r="A54" s="1" t="s">
        <v>108</v>
      </c>
      <c r="B54" s="1"/>
      <c r="C54" s="1"/>
      <c r="D54" s="1"/>
      <c r="E54" s="1"/>
      <c r="F54" s="1"/>
      <c r="G54" s="1"/>
      <c r="H54" s="1"/>
      <c r="I54" s="1"/>
    </row>
    <row r="55" spans="1:9" ht="15" customHeight="1" x14ac:dyDescent="0.45">
      <c r="A55" s="1"/>
      <c r="B55" s="1"/>
      <c r="C55" s="1"/>
      <c r="D55" s="1"/>
      <c r="E55" s="1"/>
      <c r="F55" s="1"/>
      <c r="G55" s="1"/>
      <c r="H55" s="1"/>
      <c r="I55" s="1"/>
    </row>
    <row r="56" spans="1:9" ht="15" customHeight="1" x14ac:dyDescent="0.45">
      <c r="A56" s="1"/>
      <c r="B56" s="1"/>
      <c r="C56" s="1"/>
      <c r="D56" s="1"/>
      <c r="E56" s="1"/>
      <c r="F56" s="1"/>
      <c r="G56" s="1"/>
      <c r="H56" s="1"/>
      <c r="I56" s="1"/>
    </row>
  </sheetData>
  <mergeCells count="6">
    <mergeCell ref="A54:I56"/>
    <mergeCell ref="A1:J2"/>
    <mergeCell ref="A3:J3"/>
    <mergeCell ref="A5:D5"/>
    <mergeCell ref="A10:E10"/>
    <mergeCell ref="A30:E30"/>
  </mergeCells>
  <pageMargins left="0.3" right="0.3" top="0.3" bottom="0.3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Data!$A$117:$A$133</xm:f>
          </x14:formula1>
          <x14:formula2>
            <xm:f>0</xm:f>
          </x14:formula2>
          <xm:sqref>E5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17"/>
  <sheetViews>
    <sheetView tabSelected="1" zoomScaleNormal="100" workbookViewId="0"/>
  </sheetViews>
  <sheetFormatPr defaultColWidth="8.6640625" defaultRowHeight="14.25" x14ac:dyDescent="0.45"/>
  <cols>
    <col min="1" max="1" width="26" customWidth="1"/>
    <col min="2" max="5" width="16" customWidth="1"/>
  </cols>
  <sheetData>
    <row r="1" spans="1:4" ht="15" customHeight="1" x14ac:dyDescent="0.45">
      <c r="A1" s="21" t="s">
        <v>109</v>
      </c>
    </row>
    <row r="3" spans="1:4" ht="15" customHeight="1" x14ac:dyDescent="0.45">
      <c r="A3" s="8" t="s">
        <v>110</v>
      </c>
    </row>
    <row r="4" spans="1:4" ht="15" customHeight="1" x14ac:dyDescent="0.45">
      <c r="A4" t="s">
        <v>111</v>
      </c>
      <c r="B4" t="s">
        <v>112</v>
      </c>
      <c r="C4" t="s">
        <v>113</v>
      </c>
      <c r="D4" t="s">
        <v>114</v>
      </c>
    </row>
    <row r="5" spans="1:4" ht="15" customHeight="1" x14ac:dyDescent="0.45">
      <c r="A5" t="s">
        <v>115</v>
      </c>
      <c r="B5">
        <v>4.8</v>
      </c>
      <c r="C5">
        <v>1</v>
      </c>
      <c r="D5">
        <v>2017</v>
      </c>
    </row>
    <row r="6" spans="1:4" ht="15" customHeight="1" x14ac:dyDescent="0.45">
      <c r="A6" t="s">
        <v>116</v>
      </c>
      <c r="B6">
        <v>4.4000000000000004</v>
      </c>
      <c r="C6">
        <v>1</v>
      </c>
      <c r="D6">
        <v>2017</v>
      </c>
    </row>
    <row r="7" spans="1:4" ht="15" customHeight="1" x14ac:dyDescent="0.45">
      <c r="A7" t="s">
        <v>117</v>
      </c>
      <c r="B7">
        <v>14.4</v>
      </c>
      <c r="C7">
        <v>1</v>
      </c>
      <c r="D7">
        <v>2017</v>
      </c>
    </row>
    <row r="8" spans="1:4" ht="15" customHeight="1" x14ac:dyDescent="0.45">
      <c r="A8" t="s">
        <v>118</v>
      </c>
      <c r="B8">
        <v>1.4</v>
      </c>
      <c r="C8">
        <v>1</v>
      </c>
      <c r="D8">
        <v>2017</v>
      </c>
    </row>
    <row r="9" spans="1:4" ht="15" customHeight="1" x14ac:dyDescent="0.45">
      <c r="A9" t="s">
        <v>119</v>
      </c>
      <c r="B9">
        <v>2.6</v>
      </c>
      <c r="C9">
        <v>2</v>
      </c>
      <c r="D9">
        <v>2017</v>
      </c>
    </row>
    <row r="10" spans="1:4" ht="15" customHeight="1" x14ac:dyDescent="0.45">
      <c r="A10" t="s">
        <v>120</v>
      </c>
      <c r="B10">
        <v>1.9</v>
      </c>
      <c r="C10">
        <v>1</v>
      </c>
      <c r="D10">
        <v>2017</v>
      </c>
    </row>
    <row r="11" spans="1:4" ht="15" customHeight="1" x14ac:dyDescent="0.45">
      <c r="A11" t="s">
        <v>121</v>
      </c>
      <c r="B11">
        <v>8.8000000000000007</v>
      </c>
      <c r="C11">
        <v>6</v>
      </c>
      <c r="D11">
        <v>2017</v>
      </c>
    </row>
    <row r="12" spans="1:4" ht="15" customHeight="1" x14ac:dyDescent="0.45">
      <c r="A12" t="s">
        <v>122</v>
      </c>
      <c r="B12">
        <v>7.4</v>
      </c>
      <c r="C12">
        <v>1</v>
      </c>
      <c r="D12">
        <v>2017</v>
      </c>
    </row>
    <row r="13" spans="1:4" ht="15" customHeight="1" x14ac:dyDescent="0.45">
      <c r="A13" t="s">
        <v>123</v>
      </c>
      <c r="B13">
        <v>66.5</v>
      </c>
      <c r="C13">
        <v>4</v>
      </c>
      <c r="D13">
        <v>2018</v>
      </c>
    </row>
    <row r="14" spans="1:4" ht="15" customHeight="1" x14ac:dyDescent="0.45">
      <c r="A14" t="s">
        <v>124</v>
      </c>
      <c r="B14">
        <v>46.9</v>
      </c>
      <c r="C14">
        <v>3</v>
      </c>
      <c r="D14">
        <v>2018</v>
      </c>
    </row>
    <row r="15" spans="1:4" ht="15" customHeight="1" x14ac:dyDescent="0.45">
      <c r="A15" t="s">
        <v>125</v>
      </c>
      <c r="B15">
        <v>7.3</v>
      </c>
      <c r="C15">
        <v>1</v>
      </c>
      <c r="D15">
        <v>2018</v>
      </c>
    </row>
    <row r="16" spans="1:4" ht="15" customHeight="1" x14ac:dyDescent="0.45">
      <c r="A16" t="s">
        <v>126</v>
      </c>
      <c r="B16">
        <v>16.2</v>
      </c>
      <c r="C16">
        <v>6</v>
      </c>
      <c r="D16">
        <v>2018</v>
      </c>
    </row>
    <row r="17" spans="1:4" ht="15" customHeight="1" x14ac:dyDescent="0.45">
      <c r="A17" t="s">
        <v>127</v>
      </c>
      <c r="B17">
        <v>39.6</v>
      </c>
      <c r="C17">
        <v>8</v>
      </c>
      <c r="D17">
        <v>2018</v>
      </c>
    </row>
    <row r="18" spans="1:4" ht="15" customHeight="1" x14ac:dyDescent="0.45">
      <c r="A18" t="s">
        <v>128</v>
      </c>
      <c r="B18">
        <v>26.7</v>
      </c>
      <c r="C18">
        <v>9</v>
      </c>
      <c r="D18">
        <v>2018</v>
      </c>
    </row>
    <row r="19" spans="1:4" ht="15" customHeight="1" x14ac:dyDescent="0.45">
      <c r="A19" t="s">
        <v>129</v>
      </c>
      <c r="B19">
        <v>56.1</v>
      </c>
      <c r="C19">
        <v>7</v>
      </c>
      <c r="D19">
        <v>2018</v>
      </c>
    </row>
    <row r="20" spans="1:4" ht="15" customHeight="1" x14ac:dyDescent="0.45">
      <c r="A20" t="s">
        <v>130</v>
      </c>
      <c r="B20">
        <v>38.9</v>
      </c>
      <c r="C20">
        <v>5</v>
      </c>
      <c r="D20">
        <v>2018</v>
      </c>
    </row>
    <row r="21" spans="1:4" ht="15" customHeight="1" x14ac:dyDescent="0.45">
      <c r="A21" t="s">
        <v>131</v>
      </c>
      <c r="B21">
        <v>38</v>
      </c>
      <c r="C21">
        <v>7</v>
      </c>
      <c r="D21">
        <v>2018</v>
      </c>
    </row>
    <row r="22" spans="1:4" ht="15" customHeight="1" x14ac:dyDescent="0.45">
      <c r="A22" t="s">
        <v>132</v>
      </c>
      <c r="B22">
        <v>50.7</v>
      </c>
      <c r="C22">
        <v>16</v>
      </c>
      <c r="D22">
        <v>2018</v>
      </c>
    </row>
    <row r="23" spans="1:4" ht="15" customHeight="1" x14ac:dyDescent="0.45">
      <c r="A23" t="s">
        <v>133</v>
      </c>
      <c r="B23">
        <v>97.9</v>
      </c>
      <c r="C23">
        <v>13</v>
      </c>
      <c r="D23">
        <v>2018</v>
      </c>
    </row>
    <row r="24" spans="1:4" ht="15" customHeight="1" x14ac:dyDescent="0.45">
      <c r="A24" t="s">
        <v>134</v>
      </c>
      <c r="B24">
        <v>98.7</v>
      </c>
      <c r="C24">
        <v>17</v>
      </c>
      <c r="D24">
        <v>2018</v>
      </c>
    </row>
    <row r="25" spans="1:4" ht="15" customHeight="1" x14ac:dyDescent="0.45">
      <c r="A25" t="s">
        <v>135</v>
      </c>
      <c r="B25">
        <v>118.5</v>
      </c>
      <c r="C25">
        <v>13</v>
      </c>
      <c r="D25">
        <v>2019</v>
      </c>
    </row>
    <row r="26" spans="1:4" ht="15" customHeight="1" x14ac:dyDescent="0.45">
      <c r="A26" t="s">
        <v>136</v>
      </c>
      <c r="B26">
        <v>50.1</v>
      </c>
      <c r="C26">
        <v>14</v>
      </c>
      <c r="D26">
        <v>2019</v>
      </c>
    </row>
    <row r="27" spans="1:4" ht="15" customHeight="1" x14ac:dyDescent="0.45">
      <c r="A27" t="s">
        <v>137</v>
      </c>
      <c r="B27">
        <v>132.1</v>
      </c>
      <c r="C27">
        <v>17</v>
      </c>
      <c r="D27">
        <v>2019</v>
      </c>
    </row>
    <row r="28" spans="1:4" ht="15" customHeight="1" x14ac:dyDescent="0.45">
      <c r="A28" t="s">
        <v>138</v>
      </c>
      <c r="B28">
        <v>101.2</v>
      </c>
      <c r="C28">
        <v>19</v>
      </c>
      <c r="D28">
        <v>2019</v>
      </c>
    </row>
    <row r="29" spans="1:4" ht="15" customHeight="1" x14ac:dyDescent="0.45">
      <c r="A29" t="s">
        <v>139</v>
      </c>
      <c r="B29">
        <v>160.30000000000001</v>
      </c>
      <c r="C29">
        <v>36</v>
      </c>
      <c r="D29">
        <v>2019</v>
      </c>
    </row>
    <row r="30" spans="1:4" ht="15" customHeight="1" x14ac:dyDescent="0.45">
      <c r="A30" t="s">
        <v>140</v>
      </c>
      <c r="B30">
        <v>72.099999999999994</v>
      </c>
      <c r="C30">
        <v>16</v>
      </c>
      <c r="D30">
        <v>2019</v>
      </c>
    </row>
    <row r="31" spans="1:4" ht="15" customHeight="1" x14ac:dyDescent="0.45">
      <c r="A31" t="s">
        <v>141</v>
      </c>
      <c r="B31">
        <v>52.9</v>
      </c>
      <c r="C31">
        <v>23</v>
      </c>
      <c r="D31">
        <v>2019</v>
      </c>
    </row>
    <row r="32" spans="1:4" ht="15" customHeight="1" x14ac:dyDescent="0.45">
      <c r="A32" t="s">
        <v>142</v>
      </c>
      <c r="B32">
        <v>142.6</v>
      </c>
      <c r="C32">
        <v>32</v>
      </c>
      <c r="D32">
        <v>2019</v>
      </c>
    </row>
    <row r="33" spans="1:4" ht="15" customHeight="1" x14ac:dyDescent="0.45">
      <c r="A33" t="s">
        <v>143</v>
      </c>
      <c r="B33">
        <v>96.3</v>
      </c>
      <c r="C33">
        <v>25</v>
      </c>
      <c r="D33">
        <v>2019</v>
      </c>
    </row>
    <row r="34" spans="1:4" ht="15" customHeight="1" x14ac:dyDescent="0.45">
      <c r="A34" t="s">
        <v>144</v>
      </c>
      <c r="B34">
        <v>157</v>
      </c>
      <c r="C34">
        <v>35</v>
      </c>
      <c r="D34">
        <v>2019</v>
      </c>
    </row>
    <row r="35" spans="1:4" ht="15" customHeight="1" x14ac:dyDescent="0.45">
      <c r="A35" t="s">
        <v>145</v>
      </c>
      <c r="B35">
        <v>311.2</v>
      </c>
      <c r="C35">
        <v>50</v>
      </c>
      <c r="D35">
        <v>2019</v>
      </c>
    </row>
    <row r="36" spans="1:4" ht="15" customHeight="1" x14ac:dyDescent="0.45">
      <c r="A36" t="s">
        <v>146</v>
      </c>
      <c r="B36">
        <v>285.10000000000002</v>
      </c>
      <c r="C36">
        <v>50</v>
      </c>
      <c r="D36">
        <v>2019</v>
      </c>
    </row>
    <row r="37" spans="1:4" ht="15" customHeight="1" x14ac:dyDescent="0.45">
      <c r="A37" t="s">
        <v>147</v>
      </c>
      <c r="B37">
        <v>258</v>
      </c>
      <c r="C37">
        <v>57</v>
      </c>
      <c r="D37">
        <v>2020</v>
      </c>
    </row>
    <row r="38" spans="1:4" ht="15" customHeight="1" x14ac:dyDescent="0.45">
      <c r="A38" t="s">
        <v>148</v>
      </c>
      <c r="B38">
        <v>306.3</v>
      </c>
      <c r="C38">
        <v>60</v>
      </c>
      <c r="D38">
        <v>2020</v>
      </c>
    </row>
    <row r="39" spans="1:4" ht="15" customHeight="1" x14ac:dyDescent="0.45">
      <c r="A39" t="s">
        <v>149</v>
      </c>
      <c r="B39">
        <v>383.6</v>
      </c>
      <c r="C39">
        <v>71</v>
      </c>
      <c r="D39">
        <v>2020</v>
      </c>
    </row>
    <row r="40" spans="1:4" ht="15" customHeight="1" x14ac:dyDescent="0.45">
      <c r="A40" t="s">
        <v>150</v>
      </c>
      <c r="B40">
        <v>303.39999999999998</v>
      </c>
      <c r="C40">
        <v>65</v>
      </c>
      <c r="D40">
        <v>2020</v>
      </c>
    </row>
    <row r="41" spans="1:4" ht="15" customHeight="1" x14ac:dyDescent="0.45">
      <c r="A41" t="s">
        <v>151</v>
      </c>
      <c r="B41">
        <v>407.6</v>
      </c>
      <c r="C41">
        <v>73</v>
      </c>
      <c r="D41">
        <v>2020</v>
      </c>
    </row>
    <row r="42" spans="1:4" ht="15" customHeight="1" x14ac:dyDescent="0.45">
      <c r="A42" t="s">
        <v>152</v>
      </c>
      <c r="B42">
        <v>473.1</v>
      </c>
      <c r="C42">
        <v>84</v>
      </c>
      <c r="D42">
        <v>2020</v>
      </c>
    </row>
    <row r="43" spans="1:4" ht="15" customHeight="1" x14ac:dyDescent="0.45">
      <c r="A43" t="s">
        <v>153</v>
      </c>
      <c r="B43">
        <v>362.2</v>
      </c>
      <c r="C43">
        <v>87</v>
      </c>
      <c r="D43">
        <v>2020</v>
      </c>
    </row>
    <row r="44" spans="1:4" ht="15" customHeight="1" x14ac:dyDescent="0.45">
      <c r="A44" t="s">
        <v>154</v>
      </c>
      <c r="B44">
        <v>472.6</v>
      </c>
      <c r="C44">
        <v>93</v>
      </c>
      <c r="D44">
        <v>2020</v>
      </c>
    </row>
    <row r="45" spans="1:4" ht="15" customHeight="1" x14ac:dyDescent="0.45">
      <c r="A45" t="s">
        <v>155</v>
      </c>
      <c r="B45">
        <v>553.1</v>
      </c>
      <c r="C45">
        <v>105</v>
      </c>
      <c r="D45">
        <v>2020</v>
      </c>
    </row>
    <row r="46" spans="1:4" ht="15" customHeight="1" x14ac:dyDescent="0.45">
      <c r="A46" t="s">
        <v>156</v>
      </c>
      <c r="B46">
        <v>652.20000000000005</v>
      </c>
      <c r="C46">
        <v>116</v>
      </c>
      <c r="D46">
        <v>2020</v>
      </c>
    </row>
    <row r="47" spans="1:4" ht="15" customHeight="1" x14ac:dyDescent="0.45">
      <c r="A47" t="s">
        <v>157</v>
      </c>
      <c r="B47">
        <v>642.4</v>
      </c>
      <c r="C47">
        <v>134</v>
      </c>
      <c r="D47">
        <v>2020</v>
      </c>
    </row>
    <row r="48" spans="1:4" ht="15" customHeight="1" x14ac:dyDescent="0.45">
      <c r="A48" t="s">
        <v>158</v>
      </c>
      <c r="B48">
        <v>657.4</v>
      </c>
      <c r="C48">
        <v>144</v>
      </c>
      <c r="D48">
        <v>2020</v>
      </c>
    </row>
    <row r="49" spans="1:4" ht="15" customHeight="1" x14ac:dyDescent="0.45">
      <c r="A49" t="s">
        <v>159</v>
      </c>
      <c r="B49">
        <v>904.8</v>
      </c>
      <c r="C49">
        <v>152</v>
      </c>
      <c r="D49">
        <v>2021</v>
      </c>
    </row>
    <row r="50" spans="1:4" ht="15" customHeight="1" x14ac:dyDescent="0.45">
      <c r="A50" t="s">
        <v>160</v>
      </c>
      <c r="B50">
        <v>741.3</v>
      </c>
      <c r="C50">
        <v>134</v>
      </c>
      <c r="D50">
        <v>2021</v>
      </c>
    </row>
    <row r="51" spans="1:4" ht="15" customHeight="1" x14ac:dyDescent="0.45">
      <c r="A51" t="s">
        <v>161</v>
      </c>
      <c r="B51">
        <v>953</v>
      </c>
      <c r="C51">
        <v>176</v>
      </c>
      <c r="D51">
        <v>2021</v>
      </c>
    </row>
    <row r="52" spans="1:4" ht="15" customHeight="1" x14ac:dyDescent="0.45">
      <c r="A52" t="s">
        <v>162</v>
      </c>
      <c r="B52">
        <v>1242.0999999999999</v>
      </c>
      <c r="C52">
        <v>192</v>
      </c>
      <c r="D52">
        <v>2021</v>
      </c>
    </row>
    <row r="53" spans="1:4" ht="15" customHeight="1" x14ac:dyDescent="0.45">
      <c r="A53" t="s">
        <v>163</v>
      </c>
      <c r="B53">
        <v>1223.7</v>
      </c>
      <c r="C53">
        <v>238</v>
      </c>
      <c r="D53">
        <v>2021</v>
      </c>
    </row>
    <row r="54" spans="1:4" ht="15" customHeight="1" x14ac:dyDescent="0.45">
      <c r="A54" t="s">
        <v>164</v>
      </c>
      <c r="B54">
        <v>1104.5</v>
      </c>
      <c r="C54">
        <v>224</v>
      </c>
      <c r="D54">
        <v>2021</v>
      </c>
    </row>
    <row r="55" spans="1:4" ht="15" customHeight="1" x14ac:dyDescent="0.45">
      <c r="A55" t="s">
        <v>165</v>
      </c>
      <c r="B55">
        <v>1359.9</v>
      </c>
      <c r="C55">
        <v>239</v>
      </c>
      <c r="D55">
        <v>2021</v>
      </c>
    </row>
    <row r="56" spans="1:4" ht="15" customHeight="1" x14ac:dyDescent="0.45">
      <c r="A56" t="s">
        <v>166</v>
      </c>
      <c r="B56">
        <v>1323.5</v>
      </c>
      <c r="C56">
        <v>258</v>
      </c>
      <c r="D56">
        <v>2021</v>
      </c>
    </row>
    <row r="57" spans="1:4" ht="15" customHeight="1" x14ac:dyDescent="0.45">
      <c r="A57" t="s">
        <v>167</v>
      </c>
      <c r="B57">
        <v>1221</v>
      </c>
      <c r="C57">
        <v>261</v>
      </c>
      <c r="D57">
        <v>2021</v>
      </c>
    </row>
    <row r="58" spans="1:4" ht="15" customHeight="1" x14ac:dyDescent="0.45">
      <c r="A58" t="s">
        <v>168</v>
      </c>
      <c r="B58">
        <v>1645.5</v>
      </c>
      <c r="C58">
        <v>318</v>
      </c>
      <c r="D58">
        <v>2021</v>
      </c>
    </row>
    <row r="59" spans="1:4" ht="15" customHeight="1" x14ac:dyDescent="0.45">
      <c r="A59" t="s">
        <v>169</v>
      </c>
      <c r="B59">
        <v>1749</v>
      </c>
      <c r="C59">
        <v>338</v>
      </c>
      <c r="D59">
        <v>2021</v>
      </c>
    </row>
    <row r="60" spans="1:4" ht="15" customHeight="1" x14ac:dyDescent="0.45">
      <c r="A60" t="s">
        <v>170</v>
      </c>
      <c r="B60">
        <v>1966.9</v>
      </c>
      <c r="C60">
        <v>341</v>
      </c>
      <c r="D60">
        <v>2021</v>
      </c>
    </row>
    <row r="61" spans="1:4" ht="15" customHeight="1" x14ac:dyDescent="0.45">
      <c r="A61" t="s">
        <v>171</v>
      </c>
      <c r="B61">
        <v>2136.6</v>
      </c>
      <c r="C61">
        <v>414</v>
      </c>
      <c r="D61">
        <v>2022</v>
      </c>
    </row>
    <row r="62" spans="1:4" ht="15" customHeight="1" x14ac:dyDescent="0.45">
      <c r="A62" t="s">
        <v>172</v>
      </c>
      <c r="B62">
        <v>2145.1</v>
      </c>
      <c r="C62">
        <v>411</v>
      </c>
      <c r="D62">
        <v>2022</v>
      </c>
    </row>
    <row r="63" spans="1:4" ht="15" customHeight="1" x14ac:dyDescent="0.45">
      <c r="A63" t="s">
        <v>173</v>
      </c>
      <c r="B63">
        <v>2198.9</v>
      </c>
      <c r="C63">
        <v>441</v>
      </c>
      <c r="D63">
        <v>2022</v>
      </c>
    </row>
    <row r="64" spans="1:4" ht="15" customHeight="1" x14ac:dyDescent="0.45">
      <c r="A64" t="s">
        <v>174</v>
      </c>
      <c r="B64">
        <v>2134</v>
      </c>
      <c r="C64">
        <v>453</v>
      </c>
      <c r="D64">
        <v>2022</v>
      </c>
    </row>
    <row r="65" spans="1:4" ht="15" customHeight="1" x14ac:dyDescent="0.45">
      <c r="A65" t="s">
        <v>175</v>
      </c>
      <c r="B65">
        <v>2703.3</v>
      </c>
      <c r="C65">
        <v>528</v>
      </c>
      <c r="D65">
        <v>2022</v>
      </c>
    </row>
    <row r="66" spans="1:4" ht="15" customHeight="1" x14ac:dyDescent="0.45">
      <c r="A66" t="s">
        <v>176</v>
      </c>
      <c r="B66">
        <v>2989.8</v>
      </c>
      <c r="C66">
        <v>530</v>
      </c>
      <c r="D66">
        <v>2022</v>
      </c>
    </row>
    <row r="67" spans="1:4" ht="15" customHeight="1" x14ac:dyDescent="0.45">
      <c r="A67" t="s">
        <v>177</v>
      </c>
      <c r="B67">
        <v>3360.8</v>
      </c>
      <c r="C67">
        <v>629</v>
      </c>
      <c r="D67">
        <v>2022</v>
      </c>
    </row>
    <row r="68" spans="1:4" ht="15" customHeight="1" x14ac:dyDescent="0.45">
      <c r="A68" t="s">
        <v>178</v>
      </c>
      <c r="B68">
        <v>3407</v>
      </c>
      <c r="C68">
        <v>643</v>
      </c>
      <c r="D68">
        <v>2022</v>
      </c>
    </row>
    <row r="69" spans="1:4" ht="15" customHeight="1" x14ac:dyDescent="0.45">
      <c r="A69" t="s">
        <v>179</v>
      </c>
      <c r="B69">
        <v>3845.9</v>
      </c>
      <c r="C69">
        <v>719</v>
      </c>
      <c r="D69">
        <v>2022</v>
      </c>
    </row>
    <row r="70" spans="1:4" ht="15" customHeight="1" x14ac:dyDescent="0.45">
      <c r="A70" t="s">
        <v>180</v>
      </c>
      <c r="B70">
        <v>3791.8</v>
      </c>
      <c r="C70">
        <v>779</v>
      </c>
      <c r="D70">
        <v>2022</v>
      </c>
    </row>
    <row r="71" spans="1:4" ht="15" customHeight="1" x14ac:dyDescent="0.45">
      <c r="A71" t="s">
        <v>181</v>
      </c>
      <c r="B71">
        <v>4114.8</v>
      </c>
      <c r="C71">
        <v>826</v>
      </c>
      <c r="D71">
        <v>2022</v>
      </c>
    </row>
    <row r="72" spans="1:4" ht="15" customHeight="1" x14ac:dyDescent="0.45">
      <c r="A72" t="s">
        <v>182</v>
      </c>
      <c r="B72">
        <v>4526</v>
      </c>
      <c r="C72">
        <v>889</v>
      </c>
      <c r="D72">
        <v>2022</v>
      </c>
    </row>
    <row r="73" spans="1:4" ht="15" customHeight="1" x14ac:dyDescent="0.45">
      <c r="A73" t="s">
        <v>183</v>
      </c>
      <c r="B73">
        <v>5232.3999999999996</v>
      </c>
      <c r="C73">
        <v>998</v>
      </c>
      <c r="D73">
        <v>2023</v>
      </c>
    </row>
    <row r="74" spans="1:4" ht="15" customHeight="1" x14ac:dyDescent="0.45">
      <c r="A74" t="s">
        <v>184</v>
      </c>
      <c r="B74">
        <v>4557.1000000000004</v>
      </c>
      <c r="C74">
        <v>891</v>
      </c>
      <c r="D74">
        <v>2023</v>
      </c>
    </row>
    <row r="75" spans="1:4" ht="15" customHeight="1" x14ac:dyDescent="0.45">
      <c r="A75" t="s">
        <v>185</v>
      </c>
      <c r="B75">
        <v>6125.5</v>
      </c>
      <c r="C75">
        <v>1111</v>
      </c>
      <c r="D75">
        <v>2023</v>
      </c>
    </row>
    <row r="76" spans="1:4" ht="15" customHeight="1" x14ac:dyDescent="0.45">
      <c r="A76" t="s">
        <v>186</v>
      </c>
      <c r="B76">
        <v>5263.5</v>
      </c>
      <c r="C76">
        <v>1115</v>
      </c>
      <c r="D76">
        <v>2023</v>
      </c>
    </row>
    <row r="77" spans="1:4" ht="15" customHeight="1" x14ac:dyDescent="0.45">
      <c r="A77" t="s">
        <v>187</v>
      </c>
      <c r="B77">
        <v>6869.4</v>
      </c>
      <c r="C77">
        <v>1318</v>
      </c>
      <c r="D77">
        <v>2023</v>
      </c>
    </row>
    <row r="78" spans="1:4" ht="15" customHeight="1" x14ac:dyDescent="0.45">
      <c r="A78" t="s">
        <v>188</v>
      </c>
      <c r="B78">
        <v>6357.1</v>
      </c>
      <c r="C78">
        <v>1255</v>
      </c>
      <c r="D78">
        <v>2023</v>
      </c>
    </row>
    <row r="79" spans="1:4" ht="15" customHeight="1" x14ac:dyDescent="0.45">
      <c r="A79" t="s">
        <v>189</v>
      </c>
      <c r="B79">
        <v>7377.8</v>
      </c>
      <c r="C79">
        <v>1467</v>
      </c>
      <c r="D79">
        <v>2023</v>
      </c>
    </row>
    <row r="80" spans="1:4" ht="15" customHeight="1" x14ac:dyDescent="0.45">
      <c r="A80" t="s">
        <v>190</v>
      </c>
      <c r="B80">
        <v>8489.2999999999993</v>
      </c>
      <c r="C80">
        <v>1592</v>
      </c>
      <c r="D80">
        <v>2023</v>
      </c>
    </row>
    <row r="81" spans="1:4" ht="15" customHeight="1" x14ac:dyDescent="0.45">
      <c r="A81" t="s">
        <v>191</v>
      </c>
      <c r="B81">
        <v>9068.9</v>
      </c>
      <c r="C81">
        <v>1732</v>
      </c>
      <c r="D81">
        <v>2023</v>
      </c>
    </row>
    <row r="82" spans="1:4" ht="15" customHeight="1" x14ac:dyDescent="0.45">
      <c r="A82" t="s">
        <v>192</v>
      </c>
      <c r="B82">
        <v>9742.5</v>
      </c>
      <c r="C82">
        <v>1818</v>
      </c>
      <c r="D82">
        <v>2023</v>
      </c>
    </row>
    <row r="83" spans="1:4" ht="15" customHeight="1" x14ac:dyDescent="0.45">
      <c r="A83" t="s">
        <v>193</v>
      </c>
      <c r="B83">
        <v>9464</v>
      </c>
      <c r="C83">
        <v>1900</v>
      </c>
      <c r="D83">
        <v>2023</v>
      </c>
    </row>
    <row r="84" spans="1:4" ht="15" customHeight="1" x14ac:dyDescent="0.45">
      <c r="A84" t="s">
        <v>194</v>
      </c>
      <c r="B84">
        <v>11118.4</v>
      </c>
      <c r="C84">
        <v>2131</v>
      </c>
      <c r="D84">
        <v>2023</v>
      </c>
    </row>
    <row r="85" spans="1:4" ht="15" customHeight="1" x14ac:dyDescent="0.45">
      <c r="A85" t="s">
        <v>195</v>
      </c>
      <c r="B85">
        <v>11494.5</v>
      </c>
      <c r="C85">
        <v>2328</v>
      </c>
      <c r="D85">
        <v>2024</v>
      </c>
    </row>
    <row r="86" spans="1:4" ht="15" customHeight="1" x14ac:dyDescent="0.45">
      <c r="A86" t="s">
        <v>196</v>
      </c>
      <c r="B86">
        <v>11742.6</v>
      </c>
      <c r="C86">
        <v>2308</v>
      </c>
      <c r="D86">
        <v>2024</v>
      </c>
    </row>
    <row r="87" spans="1:4" ht="15" customHeight="1" x14ac:dyDescent="0.45">
      <c r="A87" t="s">
        <v>197</v>
      </c>
      <c r="B87">
        <v>14086.9</v>
      </c>
      <c r="C87">
        <v>2669</v>
      </c>
      <c r="D87">
        <v>2024</v>
      </c>
    </row>
    <row r="88" spans="1:4" ht="15" customHeight="1" x14ac:dyDescent="0.45">
      <c r="A88" t="s">
        <v>198</v>
      </c>
      <c r="B88">
        <v>14666.1</v>
      </c>
      <c r="C88">
        <v>2808</v>
      </c>
      <c r="D88">
        <v>2024</v>
      </c>
    </row>
    <row r="89" spans="1:4" ht="15" customHeight="1" x14ac:dyDescent="0.45">
      <c r="A89" t="s">
        <v>199</v>
      </c>
      <c r="B89">
        <v>17028.8</v>
      </c>
      <c r="C89">
        <v>3154</v>
      </c>
      <c r="D89">
        <v>2024</v>
      </c>
    </row>
    <row r="90" spans="1:4" ht="15" customHeight="1" x14ac:dyDescent="0.45">
      <c r="A90" t="s">
        <v>200</v>
      </c>
      <c r="B90">
        <v>17264.099999999999</v>
      </c>
      <c r="C90">
        <v>3321</v>
      </c>
      <c r="D90">
        <v>2024</v>
      </c>
    </row>
    <row r="91" spans="1:4" ht="15" customHeight="1" x14ac:dyDescent="0.45">
      <c r="A91" t="s">
        <v>201</v>
      </c>
      <c r="B91">
        <v>19355.099999999999</v>
      </c>
      <c r="C91">
        <v>3777</v>
      </c>
      <c r="D91">
        <v>2024</v>
      </c>
    </row>
    <row r="92" spans="1:4" ht="15" customHeight="1" x14ac:dyDescent="0.45">
      <c r="A92" t="s">
        <v>202</v>
      </c>
      <c r="B92">
        <v>19915.3</v>
      </c>
      <c r="C92">
        <v>4035</v>
      </c>
      <c r="D92">
        <v>2024</v>
      </c>
    </row>
    <row r="93" spans="1:4" ht="15" customHeight="1" x14ac:dyDescent="0.45">
      <c r="A93" t="s">
        <v>203</v>
      </c>
      <c r="B93">
        <v>22454.799999999999</v>
      </c>
      <c r="C93">
        <v>4290</v>
      </c>
      <c r="D93">
        <v>2024</v>
      </c>
    </row>
    <row r="94" spans="1:4" ht="15" customHeight="1" x14ac:dyDescent="0.45">
      <c r="A94" t="s">
        <v>204</v>
      </c>
      <c r="B94">
        <v>24254.7</v>
      </c>
      <c r="C94">
        <v>4716</v>
      </c>
      <c r="D94">
        <v>2024</v>
      </c>
    </row>
    <row r="95" spans="1:4" ht="15" customHeight="1" x14ac:dyDescent="0.45">
      <c r="A95" t="s">
        <v>205</v>
      </c>
      <c r="B95">
        <v>24269.1</v>
      </c>
      <c r="C95">
        <v>4919</v>
      </c>
      <c r="D95">
        <v>2024</v>
      </c>
    </row>
    <row r="96" spans="1:4" ht="15" customHeight="1" x14ac:dyDescent="0.45">
      <c r="A96" t="s">
        <v>206</v>
      </c>
      <c r="B96">
        <v>27461.8</v>
      </c>
      <c r="C96">
        <v>5458</v>
      </c>
      <c r="D96">
        <v>2024</v>
      </c>
    </row>
    <row r="97" spans="1:4" ht="15" customHeight="1" x14ac:dyDescent="0.45">
      <c r="A97" t="s">
        <v>207</v>
      </c>
      <c r="B97">
        <v>31264.400000000001</v>
      </c>
      <c r="C97">
        <v>6083</v>
      </c>
      <c r="D97">
        <v>2025</v>
      </c>
    </row>
    <row r="98" spans="1:4" ht="15" customHeight="1" x14ac:dyDescent="0.45">
      <c r="A98" t="s">
        <v>208</v>
      </c>
      <c r="B98">
        <v>29352</v>
      </c>
      <c r="C98">
        <v>5950</v>
      </c>
      <c r="D98">
        <v>2025</v>
      </c>
    </row>
    <row r="99" spans="1:4" ht="15" customHeight="1" x14ac:dyDescent="0.45">
      <c r="A99" t="s">
        <v>209</v>
      </c>
      <c r="B99">
        <v>36105.9</v>
      </c>
      <c r="C99">
        <v>7320</v>
      </c>
      <c r="D99">
        <v>2025</v>
      </c>
    </row>
    <row r="100" spans="1:4" ht="15" customHeight="1" x14ac:dyDescent="0.45">
      <c r="A100" t="s">
        <v>210</v>
      </c>
      <c r="B100">
        <v>41128</v>
      </c>
      <c r="C100">
        <v>7942</v>
      </c>
      <c r="D100">
        <v>2025</v>
      </c>
    </row>
    <row r="101" spans="1:4" ht="15" customHeight="1" x14ac:dyDescent="0.45">
      <c r="A101" t="s">
        <v>211</v>
      </c>
      <c r="B101">
        <v>46933</v>
      </c>
      <c r="C101">
        <v>9143</v>
      </c>
      <c r="D101">
        <v>2025</v>
      </c>
    </row>
    <row r="102" spans="1:4" ht="15" customHeight="1" x14ac:dyDescent="0.45">
      <c r="A102" t="s">
        <v>212</v>
      </c>
      <c r="B102">
        <v>50131.5</v>
      </c>
      <c r="C102">
        <v>9912</v>
      </c>
      <c r="D102">
        <v>2025</v>
      </c>
    </row>
    <row r="103" spans="1:4" ht="15" customHeight="1" x14ac:dyDescent="0.45">
      <c r="A103" t="s">
        <v>213</v>
      </c>
      <c r="B103">
        <v>58682.7</v>
      </c>
      <c r="C103">
        <v>11420</v>
      </c>
      <c r="D103">
        <v>2025</v>
      </c>
    </row>
    <row r="104" spans="1:4" ht="15" customHeight="1" x14ac:dyDescent="0.45">
      <c r="A104" t="s">
        <v>214</v>
      </c>
      <c r="B104">
        <v>66709.399999999994</v>
      </c>
      <c r="C104">
        <v>13206</v>
      </c>
      <c r="D104">
        <v>2025</v>
      </c>
    </row>
    <row r="105" spans="1:4" ht="15" customHeight="1" x14ac:dyDescent="0.45">
      <c r="A105" t="s">
        <v>215</v>
      </c>
      <c r="B105">
        <v>71766.8</v>
      </c>
      <c r="C105">
        <v>14408</v>
      </c>
      <c r="D105">
        <v>2025</v>
      </c>
    </row>
    <row r="106" spans="1:4" ht="15" customHeight="1" x14ac:dyDescent="0.45">
      <c r="A106" t="s">
        <v>216</v>
      </c>
      <c r="B106">
        <v>85268.5</v>
      </c>
      <c r="C106">
        <v>17022</v>
      </c>
      <c r="D106">
        <v>2025</v>
      </c>
    </row>
    <row r="107" spans="1:4" ht="15" customHeight="1" x14ac:dyDescent="0.45">
      <c r="A107" t="s">
        <v>217</v>
      </c>
      <c r="B107">
        <v>98566.1</v>
      </c>
      <c r="C107">
        <v>19192</v>
      </c>
      <c r="D107">
        <v>2025</v>
      </c>
    </row>
    <row r="108" spans="1:4" ht="15" customHeight="1" x14ac:dyDescent="0.45">
      <c r="A108" t="s">
        <v>218</v>
      </c>
      <c r="B108">
        <v>118030.7</v>
      </c>
      <c r="C108">
        <v>23120</v>
      </c>
      <c r="D108">
        <v>2025</v>
      </c>
    </row>
    <row r="109" spans="1:4" ht="15" customHeight="1" x14ac:dyDescent="0.45">
      <c r="A109" t="s">
        <v>219</v>
      </c>
      <c r="B109">
        <v>143522</v>
      </c>
      <c r="C109">
        <v>27970</v>
      </c>
      <c r="D109">
        <v>2026</v>
      </c>
    </row>
    <row r="110" spans="1:4" ht="15" customHeight="1" x14ac:dyDescent="0.45">
      <c r="A110" t="s">
        <v>220</v>
      </c>
      <c r="B110">
        <v>174565.5</v>
      </c>
      <c r="C110">
        <v>33795</v>
      </c>
      <c r="D110">
        <v>2026</v>
      </c>
    </row>
    <row r="111" spans="1:4" ht="15" customHeight="1" x14ac:dyDescent="0.45">
      <c r="A111" t="s">
        <v>221</v>
      </c>
      <c r="B111">
        <v>286088.40000000002</v>
      </c>
      <c r="C111">
        <v>55665</v>
      </c>
      <c r="D111">
        <v>2026</v>
      </c>
    </row>
    <row r="112" spans="1:4" ht="15" customHeight="1" x14ac:dyDescent="0.45">
      <c r="A112" t="s">
        <v>222</v>
      </c>
      <c r="B112">
        <v>463337.3</v>
      </c>
      <c r="C112">
        <v>90383</v>
      </c>
      <c r="D112">
        <v>2026</v>
      </c>
    </row>
    <row r="113" spans="1:5" ht="15" customHeight="1" x14ac:dyDescent="0.45">
      <c r="A113" t="s">
        <v>223</v>
      </c>
      <c r="B113">
        <v>1157785.8999999999</v>
      </c>
      <c r="C113">
        <v>224696</v>
      </c>
      <c r="D113">
        <v>2026</v>
      </c>
    </row>
    <row r="116" spans="1:5" ht="15" customHeight="1" x14ac:dyDescent="0.45">
      <c r="A116" s="8" t="s">
        <v>224</v>
      </c>
    </row>
    <row r="117" spans="1:5" ht="15" customHeight="1" x14ac:dyDescent="0.45">
      <c r="A117" t="s">
        <v>27</v>
      </c>
      <c r="B117" t="s">
        <v>112</v>
      </c>
      <c r="C117" t="s">
        <v>225</v>
      </c>
      <c r="D117" t="s">
        <v>226</v>
      </c>
      <c r="E117" t="s">
        <v>227</v>
      </c>
    </row>
    <row r="118" spans="1:5" ht="15" customHeight="1" x14ac:dyDescent="0.45">
      <c r="A118" t="s">
        <v>20</v>
      </c>
      <c r="B118">
        <v>501884.5</v>
      </c>
      <c r="C118">
        <v>65.099999999999994</v>
      </c>
      <c r="D118">
        <v>3204980030</v>
      </c>
      <c r="E118">
        <v>0.16</v>
      </c>
    </row>
    <row r="119" spans="1:5" ht="15" customHeight="1" x14ac:dyDescent="0.45">
      <c r="A119" t="s">
        <v>37</v>
      </c>
      <c r="B119">
        <v>423149.1</v>
      </c>
      <c r="C119">
        <v>65.3</v>
      </c>
      <c r="D119">
        <v>2762029563</v>
      </c>
      <c r="E119">
        <v>0.15</v>
      </c>
    </row>
    <row r="120" spans="1:5" ht="15" customHeight="1" x14ac:dyDescent="0.45">
      <c r="A120" t="s">
        <v>40</v>
      </c>
      <c r="B120">
        <v>393171.9</v>
      </c>
      <c r="C120">
        <v>64.8</v>
      </c>
      <c r="D120">
        <v>2312734014</v>
      </c>
      <c r="E120">
        <v>0.17</v>
      </c>
    </row>
    <row r="121" spans="1:5" ht="15" customHeight="1" x14ac:dyDescent="0.45">
      <c r="A121" t="s">
        <v>42</v>
      </c>
      <c r="B121">
        <v>307024.7</v>
      </c>
      <c r="C121">
        <v>65.3</v>
      </c>
      <c r="D121">
        <v>2034649371</v>
      </c>
      <c r="E121">
        <v>0.15</v>
      </c>
    </row>
    <row r="122" spans="1:5" ht="15" customHeight="1" x14ac:dyDescent="0.45">
      <c r="A122" t="s">
        <v>35</v>
      </c>
      <c r="B122">
        <v>291216.90000000002</v>
      </c>
      <c r="C122">
        <v>65.099999999999994</v>
      </c>
      <c r="D122">
        <v>1701153792</v>
      </c>
      <c r="E122">
        <v>0.17</v>
      </c>
    </row>
    <row r="123" spans="1:5" ht="15" customHeight="1" x14ac:dyDescent="0.45">
      <c r="A123" t="s">
        <v>48</v>
      </c>
      <c r="B123">
        <v>237435.8</v>
      </c>
      <c r="C123">
        <v>65.5</v>
      </c>
      <c r="D123">
        <v>1456104534</v>
      </c>
      <c r="E123">
        <v>0.16</v>
      </c>
    </row>
    <row r="124" spans="1:5" ht="15" customHeight="1" x14ac:dyDescent="0.45">
      <c r="A124" t="s">
        <v>88</v>
      </c>
      <c r="B124">
        <v>214332.3</v>
      </c>
      <c r="C124">
        <v>65</v>
      </c>
      <c r="D124">
        <v>1437719425</v>
      </c>
      <c r="E124">
        <v>0.15</v>
      </c>
    </row>
    <row r="125" spans="1:5" ht="15" customHeight="1" x14ac:dyDescent="0.45">
      <c r="A125" t="s">
        <v>32</v>
      </c>
      <c r="B125">
        <v>180093.9</v>
      </c>
      <c r="C125">
        <v>66.400000000000006</v>
      </c>
      <c r="D125">
        <v>868312107</v>
      </c>
      <c r="E125">
        <v>0.21</v>
      </c>
    </row>
    <row r="126" spans="1:5" ht="15" customHeight="1" x14ac:dyDescent="0.45">
      <c r="A126" t="s">
        <v>228</v>
      </c>
      <c r="B126">
        <v>154332.20000000001</v>
      </c>
      <c r="C126">
        <v>65.8</v>
      </c>
      <c r="D126">
        <v>1097226581</v>
      </c>
      <c r="E126">
        <v>0.14000000000000001</v>
      </c>
    </row>
    <row r="127" spans="1:5" ht="15" customHeight="1" x14ac:dyDescent="0.45">
      <c r="A127" t="s">
        <v>96</v>
      </c>
      <c r="B127">
        <v>138033.60000000001</v>
      </c>
      <c r="C127">
        <v>65.3</v>
      </c>
      <c r="D127">
        <v>1063218678</v>
      </c>
      <c r="E127">
        <v>0.13</v>
      </c>
    </row>
    <row r="128" spans="1:5" ht="15" customHeight="1" x14ac:dyDescent="0.45">
      <c r="A128" t="s">
        <v>85</v>
      </c>
      <c r="B128">
        <v>127838.9</v>
      </c>
      <c r="C128">
        <v>66</v>
      </c>
      <c r="D128">
        <v>835817463</v>
      </c>
      <c r="E128">
        <v>0.15</v>
      </c>
    </row>
    <row r="129" spans="1:5" ht="15" customHeight="1" x14ac:dyDescent="0.45">
      <c r="A129" t="s">
        <v>229</v>
      </c>
      <c r="B129">
        <v>103954.9</v>
      </c>
      <c r="C129">
        <v>64.7</v>
      </c>
      <c r="D129">
        <v>730723352</v>
      </c>
      <c r="E129">
        <v>0.14000000000000001</v>
      </c>
    </row>
    <row r="130" spans="1:5" ht="15" customHeight="1" x14ac:dyDescent="0.45">
      <c r="A130" t="s">
        <v>44</v>
      </c>
      <c r="B130">
        <v>103118.1</v>
      </c>
      <c r="C130">
        <v>65.3</v>
      </c>
      <c r="D130">
        <v>582701298</v>
      </c>
      <c r="E130">
        <v>0.18</v>
      </c>
    </row>
    <row r="131" spans="1:5" ht="15" customHeight="1" x14ac:dyDescent="0.45">
      <c r="A131" t="s">
        <v>91</v>
      </c>
      <c r="B131">
        <v>82552.399999999994</v>
      </c>
      <c r="C131">
        <v>65.599999999999994</v>
      </c>
      <c r="D131">
        <v>578103836</v>
      </c>
      <c r="E131">
        <v>0.14000000000000001</v>
      </c>
    </row>
    <row r="132" spans="1:5" ht="15" customHeight="1" x14ac:dyDescent="0.45">
      <c r="A132" t="s">
        <v>230</v>
      </c>
      <c r="B132">
        <v>39023.4</v>
      </c>
      <c r="C132">
        <v>66.8</v>
      </c>
      <c r="D132">
        <v>283593907</v>
      </c>
      <c r="E132">
        <v>0.14000000000000001</v>
      </c>
    </row>
    <row r="133" spans="1:5" ht="15" customHeight="1" x14ac:dyDescent="0.45">
      <c r="A133" t="s">
        <v>103</v>
      </c>
      <c r="B133">
        <v>36305.300000000003</v>
      </c>
      <c r="C133">
        <v>66.3</v>
      </c>
      <c r="D133">
        <v>265254237</v>
      </c>
      <c r="E133">
        <v>0.14000000000000001</v>
      </c>
    </row>
    <row r="136" spans="1:5" ht="15" customHeight="1" x14ac:dyDescent="0.45">
      <c r="A136" s="8" t="s">
        <v>231</v>
      </c>
    </row>
    <row r="137" spans="1:5" ht="15" customHeight="1" x14ac:dyDescent="0.45">
      <c r="A137" t="s">
        <v>232</v>
      </c>
      <c r="B137" t="s">
        <v>112</v>
      </c>
    </row>
    <row r="138" spans="1:5" ht="15" customHeight="1" x14ac:dyDescent="0.45">
      <c r="A138" t="s">
        <v>233</v>
      </c>
      <c r="B138">
        <v>822684.7</v>
      </c>
    </row>
    <row r="139" spans="1:5" ht="15" customHeight="1" x14ac:dyDescent="0.45">
      <c r="A139" t="s">
        <v>234</v>
      </c>
      <c r="B139">
        <v>464337.8</v>
      </c>
    </row>
    <row r="140" spans="1:5" ht="15" customHeight="1" x14ac:dyDescent="0.45">
      <c r="A140" t="s">
        <v>235</v>
      </c>
      <c r="B140">
        <v>282946.40000000002</v>
      </c>
    </row>
    <row r="141" spans="1:5" ht="15" customHeight="1" x14ac:dyDescent="0.45">
      <c r="A141" t="s">
        <v>236</v>
      </c>
      <c r="B141">
        <v>223476.4</v>
      </c>
    </row>
    <row r="142" spans="1:5" ht="15" customHeight="1" x14ac:dyDescent="0.45">
      <c r="A142" t="s">
        <v>237</v>
      </c>
      <c r="B142">
        <v>207130.9</v>
      </c>
    </row>
    <row r="143" spans="1:5" ht="15" customHeight="1" x14ac:dyDescent="0.45">
      <c r="A143" t="s">
        <v>238</v>
      </c>
      <c r="B143">
        <v>176353.6</v>
      </c>
    </row>
    <row r="144" spans="1:5" ht="15" customHeight="1" x14ac:dyDescent="0.45">
      <c r="A144" t="s">
        <v>239</v>
      </c>
      <c r="B144">
        <v>157176.9</v>
      </c>
    </row>
    <row r="145" spans="1:4" ht="15" customHeight="1" x14ac:dyDescent="0.45">
      <c r="A145" t="s">
        <v>240</v>
      </c>
      <c r="B145">
        <v>143656.4</v>
      </c>
    </row>
    <row r="146" spans="1:4" ht="15" customHeight="1" x14ac:dyDescent="0.45">
      <c r="A146" t="s">
        <v>241</v>
      </c>
      <c r="B146">
        <v>115011.8</v>
      </c>
    </row>
    <row r="147" spans="1:4" ht="15" customHeight="1" x14ac:dyDescent="0.45">
      <c r="A147" t="s">
        <v>242</v>
      </c>
      <c r="B147">
        <v>107073</v>
      </c>
    </row>
    <row r="150" spans="1:4" ht="15" customHeight="1" x14ac:dyDescent="0.45">
      <c r="A150" s="8" t="s">
        <v>243</v>
      </c>
    </row>
    <row r="151" spans="1:4" ht="15" customHeight="1" x14ac:dyDescent="0.45">
      <c r="A151" t="s">
        <v>244</v>
      </c>
      <c r="B151" t="s">
        <v>13</v>
      </c>
      <c r="C151" t="s">
        <v>112</v>
      </c>
      <c r="D151" t="s">
        <v>245</v>
      </c>
    </row>
    <row r="152" spans="1:4" ht="15" customHeight="1" x14ac:dyDescent="0.45">
      <c r="A152" t="s">
        <v>246</v>
      </c>
      <c r="B152">
        <v>6100</v>
      </c>
      <c r="C152">
        <v>1306027.8999999999</v>
      </c>
      <c r="D152">
        <v>214.1</v>
      </c>
    </row>
    <row r="153" spans="1:4" ht="15" customHeight="1" x14ac:dyDescent="0.45">
      <c r="A153" t="s">
        <v>247</v>
      </c>
      <c r="B153">
        <v>4458</v>
      </c>
      <c r="C153">
        <v>1011326.6</v>
      </c>
      <c r="D153">
        <v>226.9</v>
      </c>
    </row>
    <row r="154" spans="1:4" ht="15" customHeight="1" x14ac:dyDescent="0.45">
      <c r="A154" t="s">
        <v>53</v>
      </c>
      <c r="B154">
        <v>4442</v>
      </c>
      <c r="C154">
        <v>1016113.2</v>
      </c>
      <c r="D154">
        <v>228.8</v>
      </c>
    </row>
    <row r="157" spans="1:4" ht="15" customHeight="1" x14ac:dyDescent="0.45">
      <c r="A157" s="8" t="s">
        <v>248</v>
      </c>
    </row>
    <row r="158" spans="1:4" ht="15" customHeight="1" x14ac:dyDescent="0.45">
      <c r="A158" t="s">
        <v>249</v>
      </c>
      <c r="B158" t="s">
        <v>13</v>
      </c>
      <c r="C158" t="s">
        <v>112</v>
      </c>
      <c r="D158" t="s">
        <v>245</v>
      </c>
    </row>
    <row r="159" spans="1:4" ht="15" customHeight="1" x14ac:dyDescent="0.45">
      <c r="A159" t="s">
        <v>250</v>
      </c>
      <c r="B159">
        <v>4291</v>
      </c>
      <c r="C159">
        <v>1013483.8</v>
      </c>
      <c r="D159">
        <v>236.2</v>
      </c>
    </row>
    <row r="160" spans="1:4" ht="15" customHeight="1" x14ac:dyDescent="0.45">
      <c r="A160" t="s">
        <v>251</v>
      </c>
      <c r="B160">
        <v>3677</v>
      </c>
      <c r="C160">
        <v>821163.6</v>
      </c>
      <c r="D160">
        <v>223.3</v>
      </c>
    </row>
    <row r="161" spans="1:4" ht="15" customHeight="1" x14ac:dyDescent="0.45">
      <c r="A161" t="s">
        <v>252</v>
      </c>
      <c r="B161">
        <v>1938</v>
      </c>
      <c r="C161">
        <v>411206.9</v>
      </c>
      <c r="D161">
        <v>212.2</v>
      </c>
    </row>
    <row r="162" spans="1:4" ht="15" customHeight="1" x14ac:dyDescent="0.45">
      <c r="A162" t="s">
        <v>253</v>
      </c>
      <c r="B162">
        <v>1808</v>
      </c>
      <c r="C162">
        <v>397654</v>
      </c>
      <c r="D162">
        <v>219.9</v>
      </c>
    </row>
    <row r="163" spans="1:4" ht="15" customHeight="1" x14ac:dyDescent="0.45">
      <c r="A163" t="s">
        <v>254</v>
      </c>
      <c r="B163">
        <v>1873</v>
      </c>
      <c r="C163">
        <v>380917.7</v>
      </c>
      <c r="D163">
        <v>203.4</v>
      </c>
    </row>
    <row r="164" spans="1:4" ht="15" customHeight="1" x14ac:dyDescent="0.45">
      <c r="A164" t="s">
        <v>255</v>
      </c>
      <c r="B164">
        <v>476</v>
      </c>
      <c r="C164">
        <v>111615</v>
      </c>
      <c r="D164">
        <v>234.5</v>
      </c>
    </row>
    <row r="165" spans="1:4" ht="15" customHeight="1" x14ac:dyDescent="0.45">
      <c r="A165" t="s">
        <v>256</v>
      </c>
      <c r="B165">
        <v>423</v>
      </c>
      <c r="C165">
        <v>76812.2</v>
      </c>
      <c r="D165">
        <v>181.6</v>
      </c>
    </row>
    <row r="166" spans="1:4" ht="15" customHeight="1" x14ac:dyDescent="0.45">
      <c r="A166" t="s">
        <v>257</v>
      </c>
      <c r="B166">
        <v>251</v>
      </c>
      <c r="C166">
        <v>60974.8</v>
      </c>
      <c r="D166">
        <v>242.9</v>
      </c>
    </row>
    <row r="167" spans="1:4" ht="15" customHeight="1" x14ac:dyDescent="0.45">
      <c r="A167" t="s">
        <v>258</v>
      </c>
      <c r="B167">
        <v>263</v>
      </c>
      <c r="C167">
        <v>59639.7</v>
      </c>
      <c r="D167">
        <v>226.8</v>
      </c>
    </row>
    <row r="170" spans="1:4" ht="15" customHeight="1" x14ac:dyDescent="0.45">
      <c r="A170" s="8" t="s">
        <v>259</v>
      </c>
    </row>
    <row r="171" spans="1:4" ht="15" customHeight="1" x14ac:dyDescent="0.45">
      <c r="A171" t="s">
        <v>260</v>
      </c>
      <c r="B171" t="s">
        <v>113</v>
      </c>
    </row>
    <row r="172" spans="1:4" ht="15" customHeight="1" x14ac:dyDescent="0.45">
      <c r="A172" t="s">
        <v>62</v>
      </c>
      <c r="B172">
        <v>221446</v>
      </c>
    </row>
    <row r="173" spans="1:4" ht="15" customHeight="1" x14ac:dyDescent="0.45">
      <c r="A173" t="s">
        <v>261</v>
      </c>
      <c r="B173">
        <v>175605</v>
      </c>
    </row>
    <row r="174" spans="1:4" ht="15" customHeight="1" x14ac:dyDescent="0.45">
      <c r="A174" t="s">
        <v>262</v>
      </c>
      <c r="B174">
        <v>96408</v>
      </c>
    </row>
    <row r="175" spans="1:4" ht="15" customHeight="1" x14ac:dyDescent="0.45">
      <c r="A175" t="s">
        <v>263</v>
      </c>
      <c r="B175">
        <v>65276</v>
      </c>
    </row>
    <row r="176" spans="1:4" ht="15" customHeight="1" x14ac:dyDescent="0.45">
      <c r="A176" t="s">
        <v>264</v>
      </c>
      <c r="B176">
        <v>52322</v>
      </c>
    </row>
    <row r="177" spans="1:2" ht="15" customHeight="1" x14ac:dyDescent="0.45">
      <c r="A177" t="s">
        <v>265</v>
      </c>
      <c r="B177">
        <v>38943</v>
      </c>
    </row>
    <row r="180" spans="1:2" ht="15" customHeight="1" x14ac:dyDescent="0.45">
      <c r="A180" s="8" t="s">
        <v>266</v>
      </c>
    </row>
    <row r="181" spans="1:2" ht="15" customHeight="1" x14ac:dyDescent="0.45">
      <c r="A181" t="s">
        <v>267</v>
      </c>
      <c r="B181" t="s">
        <v>13</v>
      </c>
    </row>
    <row r="182" spans="1:2" ht="15" customHeight="1" x14ac:dyDescent="0.45">
      <c r="A182" t="s">
        <v>268</v>
      </c>
      <c r="B182">
        <v>1270</v>
      </c>
    </row>
    <row r="183" spans="1:2" ht="15" customHeight="1" x14ac:dyDescent="0.45">
      <c r="A183" t="s">
        <v>269</v>
      </c>
      <c r="B183">
        <v>1715</v>
      </c>
    </row>
    <row r="184" spans="1:2" ht="15" customHeight="1" x14ac:dyDescent="0.45">
      <c r="A184" t="s">
        <v>270</v>
      </c>
      <c r="B184">
        <v>4094</v>
      </c>
    </row>
    <row r="185" spans="1:2" ht="15" customHeight="1" x14ac:dyDescent="0.45">
      <c r="A185" t="s">
        <v>271</v>
      </c>
      <c r="B185">
        <v>4291</v>
      </c>
    </row>
    <row r="186" spans="1:2" ht="15" customHeight="1" x14ac:dyDescent="0.45">
      <c r="A186" t="s">
        <v>272</v>
      </c>
      <c r="B186">
        <v>2557</v>
      </c>
    </row>
    <row r="187" spans="1:2" ht="15" customHeight="1" x14ac:dyDescent="0.45">
      <c r="A187" t="s">
        <v>273</v>
      </c>
      <c r="B187">
        <v>892</v>
      </c>
    </row>
    <row r="188" spans="1:2" ht="15" customHeight="1" x14ac:dyDescent="0.45">
      <c r="A188" t="s">
        <v>274</v>
      </c>
      <c r="B188">
        <v>181</v>
      </c>
    </row>
    <row r="191" spans="1:2" ht="15" customHeight="1" x14ac:dyDescent="0.45">
      <c r="A191" s="8" t="s">
        <v>275</v>
      </c>
    </row>
    <row r="192" spans="1:2" ht="15" customHeight="1" x14ac:dyDescent="0.45">
      <c r="A192" t="s">
        <v>276</v>
      </c>
      <c r="B192" t="s">
        <v>277</v>
      </c>
    </row>
    <row r="193" spans="1:5" ht="15" customHeight="1" x14ac:dyDescent="0.45">
      <c r="A193">
        <v>1</v>
      </c>
      <c r="B193">
        <v>1786</v>
      </c>
    </row>
    <row r="194" spans="1:5" ht="15" customHeight="1" x14ac:dyDescent="0.45">
      <c r="A194">
        <v>2</v>
      </c>
      <c r="B194">
        <v>14570</v>
      </c>
    </row>
    <row r="195" spans="1:5" ht="15" customHeight="1" x14ac:dyDescent="0.45">
      <c r="A195">
        <v>3</v>
      </c>
      <c r="B195">
        <v>44491</v>
      </c>
    </row>
    <row r="196" spans="1:5" ht="15" customHeight="1" x14ac:dyDescent="0.45">
      <c r="A196">
        <v>4</v>
      </c>
      <c r="B196">
        <v>48564</v>
      </c>
    </row>
    <row r="197" spans="1:5" ht="15" customHeight="1" x14ac:dyDescent="0.45">
      <c r="A197">
        <v>5</v>
      </c>
      <c r="B197">
        <v>20589</v>
      </c>
    </row>
    <row r="200" spans="1:5" ht="15" customHeight="1" x14ac:dyDescent="0.45">
      <c r="A200" s="8" t="s">
        <v>278</v>
      </c>
    </row>
    <row r="201" spans="1:5" ht="15" customHeight="1" x14ac:dyDescent="0.45">
      <c r="A201" t="s">
        <v>279</v>
      </c>
      <c r="B201" t="s">
        <v>277</v>
      </c>
    </row>
    <row r="202" spans="1:5" ht="15" customHeight="1" x14ac:dyDescent="0.45">
      <c r="A202" t="s">
        <v>280</v>
      </c>
      <c r="B202">
        <v>75007</v>
      </c>
    </row>
    <row r="203" spans="1:5" ht="15" customHeight="1" x14ac:dyDescent="0.45">
      <c r="A203" t="s">
        <v>281</v>
      </c>
      <c r="B203">
        <v>22759</v>
      </c>
    </row>
    <row r="204" spans="1:5" ht="15" customHeight="1" x14ac:dyDescent="0.45">
      <c r="A204" t="s">
        <v>282</v>
      </c>
      <c r="B204">
        <v>12234</v>
      </c>
    </row>
    <row r="207" spans="1:5" ht="15" customHeight="1" x14ac:dyDescent="0.45">
      <c r="A207" s="8" t="s">
        <v>283</v>
      </c>
    </row>
    <row r="208" spans="1:5" ht="15" customHeight="1" x14ac:dyDescent="0.45">
      <c r="A208" t="s">
        <v>26</v>
      </c>
      <c r="B208" t="s">
        <v>27</v>
      </c>
      <c r="C208" t="s">
        <v>28</v>
      </c>
      <c r="D208" t="s">
        <v>112</v>
      </c>
      <c r="E208" t="s">
        <v>30</v>
      </c>
    </row>
    <row r="209" spans="1:5" ht="15" customHeight="1" x14ac:dyDescent="0.45">
      <c r="A209" t="s">
        <v>31</v>
      </c>
      <c r="B209" t="s">
        <v>32</v>
      </c>
      <c r="C209" t="s">
        <v>33</v>
      </c>
      <c r="D209">
        <v>35443.4</v>
      </c>
      <c r="E209">
        <v>3482</v>
      </c>
    </row>
    <row r="210" spans="1:5" ht="15" customHeight="1" x14ac:dyDescent="0.45">
      <c r="A210" t="s">
        <v>34</v>
      </c>
      <c r="B210" t="s">
        <v>35</v>
      </c>
      <c r="C210" t="s">
        <v>33</v>
      </c>
      <c r="D210">
        <v>22538.2</v>
      </c>
      <c r="E210">
        <v>4436</v>
      </c>
    </row>
    <row r="211" spans="1:5" ht="15" customHeight="1" x14ac:dyDescent="0.45">
      <c r="A211" t="s">
        <v>36</v>
      </c>
      <c r="B211" t="s">
        <v>37</v>
      </c>
      <c r="C211" t="s">
        <v>33</v>
      </c>
      <c r="D211">
        <v>16660</v>
      </c>
      <c r="E211">
        <v>3028</v>
      </c>
    </row>
    <row r="212" spans="1:5" ht="15" customHeight="1" x14ac:dyDescent="0.45">
      <c r="A212" t="s">
        <v>38</v>
      </c>
      <c r="B212" t="s">
        <v>20</v>
      </c>
      <c r="C212" t="s">
        <v>33</v>
      </c>
      <c r="D212">
        <v>14778.6</v>
      </c>
      <c r="E212">
        <v>614</v>
      </c>
    </row>
    <row r="213" spans="1:5" ht="15" customHeight="1" x14ac:dyDescent="0.45">
      <c r="A213" t="s">
        <v>39</v>
      </c>
      <c r="B213" t="s">
        <v>40</v>
      </c>
      <c r="C213" t="s">
        <v>33</v>
      </c>
      <c r="D213">
        <v>13963.5</v>
      </c>
      <c r="E213">
        <v>1792</v>
      </c>
    </row>
    <row r="214" spans="1:5" ht="15" customHeight="1" x14ac:dyDescent="0.45">
      <c r="A214" t="s">
        <v>41</v>
      </c>
      <c r="B214" t="s">
        <v>42</v>
      </c>
      <c r="C214" t="s">
        <v>33</v>
      </c>
      <c r="D214">
        <v>11902.9</v>
      </c>
      <c r="E214">
        <v>1043</v>
      </c>
    </row>
    <row r="215" spans="1:5" ht="15" customHeight="1" x14ac:dyDescent="0.45">
      <c r="A215" t="s">
        <v>43</v>
      </c>
      <c r="B215" t="s">
        <v>44</v>
      </c>
      <c r="C215" t="s">
        <v>33</v>
      </c>
      <c r="D215">
        <v>11440</v>
      </c>
      <c r="E215">
        <v>1513</v>
      </c>
    </row>
    <row r="216" spans="1:5" ht="15" customHeight="1" x14ac:dyDescent="0.45">
      <c r="A216" t="s">
        <v>45</v>
      </c>
      <c r="B216" t="s">
        <v>40</v>
      </c>
      <c r="C216" t="s">
        <v>33</v>
      </c>
      <c r="D216">
        <v>10967.3</v>
      </c>
      <c r="E216">
        <v>565</v>
      </c>
    </row>
    <row r="217" spans="1:5" ht="15" customHeight="1" x14ac:dyDescent="0.45">
      <c r="A217" t="s">
        <v>46</v>
      </c>
      <c r="B217" t="s">
        <v>20</v>
      </c>
      <c r="C217" t="s">
        <v>33</v>
      </c>
      <c r="D217">
        <v>10844.8</v>
      </c>
      <c r="E217">
        <v>460</v>
      </c>
    </row>
    <row r="218" spans="1:5" ht="15" customHeight="1" x14ac:dyDescent="0.45">
      <c r="A218" t="s">
        <v>47</v>
      </c>
      <c r="B218" t="s">
        <v>48</v>
      </c>
      <c r="C218" t="s">
        <v>33</v>
      </c>
      <c r="D218">
        <v>10266.9</v>
      </c>
      <c r="E218">
        <v>338</v>
      </c>
    </row>
    <row r="221" spans="1:5" ht="15" customHeight="1" x14ac:dyDescent="0.45">
      <c r="A221" s="8" t="s">
        <v>284</v>
      </c>
    </row>
    <row r="222" spans="1:5" ht="15" customHeight="1" x14ac:dyDescent="0.45">
      <c r="A222" t="s">
        <v>285</v>
      </c>
      <c r="B222" t="s">
        <v>112</v>
      </c>
      <c r="C222" t="s">
        <v>286</v>
      </c>
      <c r="D222" t="s">
        <v>287</v>
      </c>
    </row>
    <row r="223" spans="1:5" ht="15" customHeight="1" x14ac:dyDescent="0.45">
      <c r="A223" t="s">
        <v>288</v>
      </c>
      <c r="B223">
        <v>2427810.9</v>
      </c>
      <c r="C223">
        <v>13060429937</v>
      </c>
      <c r="D223">
        <v>7034</v>
      </c>
    </row>
    <row r="224" spans="1:5" ht="15" customHeight="1" x14ac:dyDescent="0.45">
      <c r="A224" t="s">
        <v>289</v>
      </c>
      <c r="B224">
        <v>905662.1</v>
      </c>
      <c r="C224">
        <v>8153892251</v>
      </c>
      <c r="D224">
        <v>1966</v>
      </c>
    </row>
    <row r="227" spans="1:5" ht="15" customHeight="1" x14ac:dyDescent="0.45">
      <c r="A227" s="8" t="s">
        <v>290</v>
      </c>
    </row>
    <row r="228" spans="1:5" ht="15" customHeight="1" x14ac:dyDescent="0.45">
      <c r="A228" t="s">
        <v>26</v>
      </c>
      <c r="B228" t="s">
        <v>27</v>
      </c>
      <c r="C228" t="s">
        <v>291</v>
      </c>
      <c r="D228" t="s">
        <v>112</v>
      </c>
      <c r="E228" t="s">
        <v>292</v>
      </c>
    </row>
    <row r="229" spans="1:5" ht="15" customHeight="1" x14ac:dyDescent="0.45">
      <c r="A229" t="s">
        <v>78</v>
      </c>
      <c r="B229" t="s">
        <v>40</v>
      </c>
      <c r="C229" t="s">
        <v>79</v>
      </c>
      <c r="D229">
        <v>60.4</v>
      </c>
      <c r="E229">
        <v>1205469</v>
      </c>
    </row>
    <row r="230" spans="1:5" ht="15" customHeight="1" x14ac:dyDescent="0.45">
      <c r="A230" t="s">
        <v>80</v>
      </c>
      <c r="B230" t="s">
        <v>35</v>
      </c>
      <c r="C230" t="s">
        <v>79</v>
      </c>
      <c r="D230">
        <v>4916</v>
      </c>
      <c r="E230">
        <v>1823631</v>
      </c>
    </row>
    <row r="231" spans="1:5" ht="15" customHeight="1" x14ac:dyDescent="0.45">
      <c r="A231" t="s">
        <v>81</v>
      </c>
      <c r="B231" t="s">
        <v>20</v>
      </c>
      <c r="C231" t="s">
        <v>79</v>
      </c>
      <c r="D231">
        <v>125.3</v>
      </c>
      <c r="E231">
        <v>3229170</v>
      </c>
    </row>
    <row r="232" spans="1:5" ht="15" customHeight="1" x14ac:dyDescent="0.45">
      <c r="A232" t="s">
        <v>82</v>
      </c>
      <c r="B232" t="s">
        <v>20</v>
      </c>
      <c r="C232" t="s">
        <v>83</v>
      </c>
      <c r="D232">
        <v>94.7</v>
      </c>
      <c r="E232">
        <v>584096</v>
      </c>
    </row>
    <row r="233" spans="1:5" ht="15" customHeight="1" x14ac:dyDescent="0.45">
      <c r="A233" t="s">
        <v>84</v>
      </c>
      <c r="B233" t="s">
        <v>85</v>
      </c>
      <c r="C233" t="s">
        <v>83</v>
      </c>
      <c r="D233">
        <v>42.6</v>
      </c>
      <c r="E233">
        <v>1221260</v>
      </c>
    </row>
    <row r="234" spans="1:5" ht="15" customHeight="1" x14ac:dyDescent="0.45">
      <c r="A234" t="s">
        <v>86</v>
      </c>
      <c r="B234" t="s">
        <v>37</v>
      </c>
      <c r="C234" t="s">
        <v>83</v>
      </c>
      <c r="D234">
        <v>36.9</v>
      </c>
      <c r="E234">
        <v>2248545</v>
      </c>
    </row>
    <row r="235" spans="1:5" ht="15" customHeight="1" x14ac:dyDescent="0.45">
      <c r="A235" t="s">
        <v>87</v>
      </c>
      <c r="B235" t="s">
        <v>88</v>
      </c>
      <c r="C235" t="s">
        <v>83</v>
      </c>
      <c r="D235">
        <v>54.1</v>
      </c>
      <c r="E235">
        <v>812877</v>
      </c>
    </row>
    <row r="236" spans="1:5" ht="15" customHeight="1" x14ac:dyDescent="0.45">
      <c r="A236" t="s">
        <v>89</v>
      </c>
      <c r="B236" t="s">
        <v>20</v>
      </c>
      <c r="C236" t="s">
        <v>83</v>
      </c>
      <c r="D236">
        <v>118.1</v>
      </c>
      <c r="E236">
        <v>2456708</v>
      </c>
    </row>
    <row r="237" spans="1:5" ht="15" customHeight="1" x14ac:dyDescent="0.45">
      <c r="A237" t="s">
        <v>90</v>
      </c>
      <c r="B237" t="s">
        <v>91</v>
      </c>
      <c r="C237" t="s">
        <v>92</v>
      </c>
      <c r="D237">
        <v>312.89999999999998</v>
      </c>
      <c r="E237">
        <v>406252</v>
      </c>
    </row>
    <row r="238" spans="1:5" ht="15" customHeight="1" x14ac:dyDescent="0.45">
      <c r="A238" t="s">
        <v>93</v>
      </c>
      <c r="B238" t="s">
        <v>42</v>
      </c>
      <c r="C238" t="s">
        <v>92</v>
      </c>
      <c r="D238">
        <v>35.700000000000003</v>
      </c>
      <c r="E238">
        <v>565188</v>
      </c>
    </row>
    <row r="239" spans="1:5" ht="15" customHeight="1" x14ac:dyDescent="0.45">
      <c r="A239" t="s">
        <v>94</v>
      </c>
      <c r="B239" t="s">
        <v>20</v>
      </c>
      <c r="C239" t="s">
        <v>92</v>
      </c>
      <c r="D239">
        <v>33.6</v>
      </c>
      <c r="E239">
        <v>2137617</v>
      </c>
    </row>
    <row r="240" spans="1:5" ht="15" customHeight="1" x14ac:dyDescent="0.45">
      <c r="A240" t="s">
        <v>95</v>
      </c>
      <c r="B240" t="s">
        <v>96</v>
      </c>
      <c r="C240" t="s">
        <v>92</v>
      </c>
      <c r="D240">
        <v>104</v>
      </c>
      <c r="E240">
        <v>197300</v>
      </c>
    </row>
    <row r="241" spans="1:5" ht="15" customHeight="1" x14ac:dyDescent="0.45">
      <c r="A241" t="s">
        <v>97</v>
      </c>
      <c r="B241" t="s">
        <v>37</v>
      </c>
      <c r="C241" t="s">
        <v>92</v>
      </c>
      <c r="D241">
        <v>158.1</v>
      </c>
      <c r="E241">
        <v>1643826</v>
      </c>
    </row>
    <row r="242" spans="1:5" ht="15" customHeight="1" x14ac:dyDescent="0.45">
      <c r="A242" t="s">
        <v>98</v>
      </c>
      <c r="B242" t="s">
        <v>48</v>
      </c>
      <c r="C242" t="s">
        <v>99</v>
      </c>
      <c r="D242">
        <v>492.8</v>
      </c>
      <c r="E242">
        <v>1564649</v>
      </c>
    </row>
    <row r="243" spans="1:5" ht="15" customHeight="1" x14ac:dyDescent="0.45">
      <c r="A243" t="s">
        <v>100</v>
      </c>
      <c r="B243" t="s">
        <v>88</v>
      </c>
      <c r="C243" t="s">
        <v>99</v>
      </c>
      <c r="D243">
        <v>201.1</v>
      </c>
      <c r="E243">
        <v>3422122</v>
      </c>
    </row>
    <row r="244" spans="1:5" ht="15" customHeight="1" x14ac:dyDescent="0.45">
      <c r="A244" t="s">
        <v>101</v>
      </c>
      <c r="B244" t="s">
        <v>35</v>
      </c>
      <c r="C244" t="s">
        <v>99</v>
      </c>
      <c r="D244">
        <v>149.80000000000001</v>
      </c>
      <c r="E244">
        <v>1379743</v>
      </c>
    </row>
    <row r="245" spans="1:5" ht="15" customHeight="1" x14ac:dyDescent="0.45">
      <c r="A245" t="s">
        <v>102</v>
      </c>
      <c r="B245" t="s">
        <v>103</v>
      </c>
      <c r="C245" t="s">
        <v>99</v>
      </c>
      <c r="D245">
        <v>190</v>
      </c>
      <c r="E245">
        <v>641557</v>
      </c>
    </row>
    <row r="246" spans="1:5" ht="15" customHeight="1" x14ac:dyDescent="0.45">
      <c r="A246" t="s">
        <v>104</v>
      </c>
      <c r="B246" t="s">
        <v>20</v>
      </c>
      <c r="C246" t="s">
        <v>99</v>
      </c>
      <c r="D246">
        <v>299.60000000000002</v>
      </c>
      <c r="E246">
        <v>766136</v>
      </c>
    </row>
    <row r="247" spans="1:5" ht="15" customHeight="1" x14ac:dyDescent="0.45">
      <c r="A247" t="s">
        <v>105</v>
      </c>
      <c r="B247" t="s">
        <v>32</v>
      </c>
      <c r="C247" t="s">
        <v>106</v>
      </c>
      <c r="D247">
        <v>91.4</v>
      </c>
      <c r="E247">
        <v>595214</v>
      </c>
    </row>
    <row r="248" spans="1:5" ht="15" customHeight="1" x14ac:dyDescent="0.45">
      <c r="A248" t="s">
        <v>107</v>
      </c>
      <c r="B248" t="s">
        <v>32</v>
      </c>
      <c r="C248" t="s">
        <v>106</v>
      </c>
      <c r="D248">
        <v>255.9</v>
      </c>
      <c r="E248">
        <v>792320</v>
      </c>
    </row>
    <row r="251" spans="1:5" ht="15" customHeight="1" x14ac:dyDescent="0.45">
      <c r="A251" s="8" t="s">
        <v>293</v>
      </c>
    </row>
    <row r="252" spans="1:5" ht="15" customHeight="1" x14ac:dyDescent="0.45">
      <c r="A252" t="s">
        <v>111</v>
      </c>
      <c r="B252" t="s">
        <v>294</v>
      </c>
    </row>
    <row r="253" spans="1:5" ht="15" customHeight="1" x14ac:dyDescent="0.45">
      <c r="A253" t="s">
        <v>295</v>
      </c>
      <c r="B253">
        <v>4</v>
      </c>
    </row>
    <row r="254" spans="1:5" ht="15" customHeight="1" x14ac:dyDescent="0.45">
      <c r="A254" t="s">
        <v>296</v>
      </c>
      <c r="B254">
        <v>9</v>
      </c>
    </row>
    <row r="255" spans="1:5" ht="15" customHeight="1" x14ac:dyDescent="0.45">
      <c r="A255" t="s">
        <v>297</v>
      </c>
      <c r="B255">
        <v>12</v>
      </c>
    </row>
    <row r="256" spans="1:5" ht="15" customHeight="1" x14ac:dyDescent="0.45">
      <c r="A256" t="s">
        <v>298</v>
      </c>
      <c r="B256">
        <v>13</v>
      </c>
    </row>
    <row r="257" spans="1:2" ht="15" customHeight="1" x14ac:dyDescent="0.45">
      <c r="A257" t="s">
        <v>299</v>
      </c>
      <c r="B257">
        <v>20</v>
      </c>
    </row>
    <row r="258" spans="1:2" ht="15" customHeight="1" x14ac:dyDescent="0.45">
      <c r="A258" t="s">
        <v>300</v>
      </c>
      <c r="B258">
        <v>21</v>
      </c>
    </row>
    <row r="259" spans="1:2" ht="15" customHeight="1" x14ac:dyDescent="0.45">
      <c r="A259" t="s">
        <v>301</v>
      </c>
      <c r="B259">
        <v>17</v>
      </c>
    </row>
    <row r="260" spans="1:2" ht="15" customHeight="1" x14ac:dyDescent="0.45">
      <c r="A260" t="s">
        <v>302</v>
      </c>
      <c r="B260">
        <v>24</v>
      </c>
    </row>
    <row r="261" spans="1:2" ht="15" customHeight="1" x14ac:dyDescent="0.45">
      <c r="A261" t="s">
        <v>303</v>
      </c>
      <c r="B261">
        <v>21</v>
      </c>
    </row>
    <row r="262" spans="1:2" ht="15" customHeight="1" x14ac:dyDescent="0.45">
      <c r="A262" t="s">
        <v>304</v>
      </c>
      <c r="B262">
        <v>33</v>
      </c>
    </row>
    <row r="263" spans="1:2" ht="15" customHeight="1" x14ac:dyDescent="0.45">
      <c r="A263" t="s">
        <v>305</v>
      </c>
      <c r="B263">
        <v>24</v>
      </c>
    </row>
    <row r="264" spans="1:2" ht="15" customHeight="1" x14ac:dyDescent="0.45">
      <c r="A264" t="s">
        <v>306</v>
      </c>
      <c r="B264">
        <v>39</v>
      </c>
    </row>
    <row r="265" spans="1:2" ht="15" customHeight="1" x14ac:dyDescent="0.45">
      <c r="A265" t="s">
        <v>307</v>
      </c>
      <c r="B265">
        <v>30</v>
      </c>
    </row>
    <row r="266" spans="1:2" ht="15" customHeight="1" x14ac:dyDescent="0.45">
      <c r="A266" t="s">
        <v>308</v>
      </c>
      <c r="B266">
        <v>39</v>
      </c>
    </row>
    <row r="267" spans="1:2" ht="15" customHeight="1" x14ac:dyDescent="0.45">
      <c r="A267" t="s">
        <v>115</v>
      </c>
      <c r="B267">
        <v>34</v>
      </c>
    </row>
    <row r="268" spans="1:2" ht="15" customHeight="1" x14ac:dyDescent="0.45">
      <c r="A268" t="s">
        <v>116</v>
      </c>
      <c r="B268">
        <v>37</v>
      </c>
    </row>
    <row r="269" spans="1:2" ht="15" customHeight="1" x14ac:dyDescent="0.45">
      <c r="A269" t="s">
        <v>117</v>
      </c>
      <c r="B269">
        <v>52</v>
      </c>
    </row>
    <row r="270" spans="1:2" ht="15" customHeight="1" x14ac:dyDescent="0.45">
      <c r="A270" t="s">
        <v>309</v>
      </c>
      <c r="B270">
        <v>45</v>
      </c>
    </row>
    <row r="271" spans="1:2" ht="15" customHeight="1" x14ac:dyDescent="0.45">
      <c r="A271" t="s">
        <v>118</v>
      </c>
      <c r="B271">
        <v>55</v>
      </c>
    </row>
    <row r="272" spans="1:2" ht="15" customHeight="1" x14ac:dyDescent="0.45">
      <c r="A272" t="s">
        <v>310</v>
      </c>
      <c r="B272">
        <v>35</v>
      </c>
    </row>
    <row r="273" spans="1:2" ht="15" customHeight="1" x14ac:dyDescent="0.45">
      <c r="A273" t="s">
        <v>119</v>
      </c>
      <c r="B273">
        <v>51</v>
      </c>
    </row>
    <row r="274" spans="1:2" ht="15" customHeight="1" x14ac:dyDescent="0.45">
      <c r="A274" t="s">
        <v>120</v>
      </c>
      <c r="B274">
        <v>65</v>
      </c>
    </row>
    <row r="275" spans="1:2" ht="15" customHeight="1" x14ac:dyDescent="0.45">
      <c r="A275" t="s">
        <v>121</v>
      </c>
      <c r="B275">
        <v>55</v>
      </c>
    </row>
    <row r="276" spans="1:2" ht="15" customHeight="1" x14ac:dyDescent="0.45">
      <c r="A276" t="s">
        <v>122</v>
      </c>
      <c r="B276">
        <v>71</v>
      </c>
    </row>
    <row r="277" spans="1:2" ht="15" customHeight="1" x14ac:dyDescent="0.45">
      <c r="A277" t="s">
        <v>123</v>
      </c>
      <c r="B277">
        <v>67</v>
      </c>
    </row>
    <row r="278" spans="1:2" ht="15" customHeight="1" x14ac:dyDescent="0.45">
      <c r="A278" t="s">
        <v>124</v>
      </c>
      <c r="B278">
        <v>52</v>
      </c>
    </row>
    <row r="279" spans="1:2" ht="15" customHeight="1" x14ac:dyDescent="0.45">
      <c r="A279" t="s">
        <v>125</v>
      </c>
      <c r="B279">
        <v>71</v>
      </c>
    </row>
    <row r="280" spans="1:2" ht="15" customHeight="1" x14ac:dyDescent="0.45">
      <c r="A280" t="s">
        <v>126</v>
      </c>
      <c r="B280">
        <v>71</v>
      </c>
    </row>
    <row r="281" spans="1:2" ht="15" customHeight="1" x14ac:dyDescent="0.45">
      <c r="A281" t="s">
        <v>127</v>
      </c>
      <c r="B281">
        <v>51</v>
      </c>
    </row>
    <row r="282" spans="1:2" ht="15" customHeight="1" x14ac:dyDescent="0.45">
      <c r="A282" t="s">
        <v>128</v>
      </c>
      <c r="B282">
        <v>83</v>
      </c>
    </row>
    <row r="283" spans="1:2" ht="15" customHeight="1" x14ac:dyDescent="0.45">
      <c r="A283" t="s">
        <v>129</v>
      </c>
      <c r="B283">
        <v>57</v>
      </c>
    </row>
    <row r="284" spans="1:2" ht="15" customHeight="1" x14ac:dyDescent="0.45">
      <c r="A284" t="s">
        <v>130</v>
      </c>
      <c r="B284">
        <v>77</v>
      </c>
    </row>
    <row r="285" spans="1:2" ht="15" customHeight="1" x14ac:dyDescent="0.45">
      <c r="A285" t="s">
        <v>131</v>
      </c>
      <c r="B285">
        <v>73</v>
      </c>
    </row>
    <row r="286" spans="1:2" ht="15" customHeight="1" x14ac:dyDescent="0.45">
      <c r="A286" t="s">
        <v>132</v>
      </c>
      <c r="B286">
        <v>72</v>
      </c>
    </row>
    <row r="287" spans="1:2" ht="15" customHeight="1" x14ac:dyDescent="0.45">
      <c r="A287" t="s">
        <v>133</v>
      </c>
      <c r="B287">
        <v>83</v>
      </c>
    </row>
    <row r="288" spans="1:2" ht="15" customHeight="1" x14ac:dyDescent="0.45">
      <c r="A288" t="s">
        <v>134</v>
      </c>
      <c r="B288">
        <v>79</v>
      </c>
    </row>
    <row r="289" spans="1:2" ht="15" customHeight="1" x14ac:dyDescent="0.45">
      <c r="A289" t="s">
        <v>135</v>
      </c>
      <c r="B289">
        <v>81</v>
      </c>
    </row>
    <row r="290" spans="1:2" ht="15" customHeight="1" x14ac:dyDescent="0.45">
      <c r="A290" t="s">
        <v>136</v>
      </c>
      <c r="B290">
        <v>82</v>
      </c>
    </row>
    <row r="291" spans="1:2" ht="15" customHeight="1" x14ac:dyDescent="0.45">
      <c r="A291" t="s">
        <v>137</v>
      </c>
      <c r="B291">
        <v>79</v>
      </c>
    </row>
    <row r="292" spans="1:2" ht="15" customHeight="1" x14ac:dyDescent="0.45">
      <c r="A292" t="s">
        <v>138</v>
      </c>
      <c r="B292">
        <v>76</v>
      </c>
    </row>
    <row r="293" spans="1:2" ht="15" customHeight="1" x14ac:dyDescent="0.45">
      <c r="A293" t="s">
        <v>139</v>
      </c>
      <c r="B293">
        <v>81</v>
      </c>
    </row>
    <row r="294" spans="1:2" ht="15" customHeight="1" x14ac:dyDescent="0.45">
      <c r="A294" t="s">
        <v>140</v>
      </c>
      <c r="B294">
        <v>94</v>
      </c>
    </row>
    <row r="295" spans="1:2" ht="15" customHeight="1" x14ac:dyDescent="0.45">
      <c r="A295" t="s">
        <v>141</v>
      </c>
      <c r="B295">
        <v>93</v>
      </c>
    </row>
    <row r="296" spans="1:2" ht="15" customHeight="1" x14ac:dyDescent="0.45">
      <c r="A296" t="s">
        <v>142</v>
      </c>
      <c r="B296">
        <v>96</v>
      </c>
    </row>
    <row r="297" spans="1:2" ht="15" customHeight="1" x14ac:dyDescent="0.45">
      <c r="A297" t="s">
        <v>143</v>
      </c>
      <c r="B297">
        <v>85</v>
      </c>
    </row>
    <row r="298" spans="1:2" ht="15" customHeight="1" x14ac:dyDescent="0.45">
      <c r="A298" t="s">
        <v>144</v>
      </c>
      <c r="B298">
        <v>91</v>
      </c>
    </row>
    <row r="299" spans="1:2" ht="15" customHeight="1" x14ac:dyDescent="0.45">
      <c r="A299" t="s">
        <v>145</v>
      </c>
      <c r="B299">
        <v>112</v>
      </c>
    </row>
    <row r="300" spans="1:2" ht="15" customHeight="1" x14ac:dyDescent="0.45">
      <c r="A300" t="s">
        <v>146</v>
      </c>
      <c r="B300">
        <v>85</v>
      </c>
    </row>
    <row r="301" spans="1:2" ht="15" customHeight="1" x14ac:dyDescent="0.45">
      <c r="A301" t="s">
        <v>147</v>
      </c>
      <c r="B301">
        <v>103</v>
      </c>
    </row>
    <row r="302" spans="1:2" ht="15" customHeight="1" x14ac:dyDescent="0.45">
      <c r="A302" t="s">
        <v>148</v>
      </c>
      <c r="B302">
        <v>115</v>
      </c>
    </row>
    <row r="303" spans="1:2" ht="15" customHeight="1" x14ac:dyDescent="0.45">
      <c r="A303" t="s">
        <v>149</v>
      </c>
      <c r="B303">
        <v>95</v>
      </c>
    </row>
    <row r="304" spans="1:2" ht="15" customHeight="1" x14ac:dyDescent="0.45">
      <c r="A304" t="s">
        <v>150</v>
      </c>
      <c r="B304">
        <v>120</v>
      </c>
    </row>
    <row r="305" spans="1:2" ht="15" customHeight="1" x14ac:dyDescent="0.45">
      <c r="A305" t="s">
        <v>151</v>
      </c>
      <c r="B305">
        <v>86</v>
      </c>
    </row>
    <row r="306" spans="1:2" ht="15" customHeight="1" x14ac:dyDescent="0.45">
      <c r="A306" t="s">
        <v>152</v>
      </c>
      <c r="B306">
        <v>110</v>
      </c>
    </row>
    <row r="307" spans="1:2" ht="15" customHeight="1" x14ac:dyDescent="0.45">
      <c r="A307" t="s">
        <v>153</v>
      </c>
      <c r="B307">
        <v>117</v>
      </c>
    </row>
    <row r="308" spans="1:2" ht="15" customHeight="1" x14ac:dyDescent="0.45">
      <c r="A308" t="s">
        <v>154</v>
      </c>
      <c r="B308">
        <v>130</v>
      </c>
    </row>
    <row r="309" spans="1:2" ht="15" customHeight="1" x14ac:dyDescent="0.45">
      <c r="A309" t="s">
        <v>155</v>
      </c>
      <c r="B309">
        <v>113</v>
      </c>
    </row>
    <row r="310" spans="1:2" ht="15" customHeight="1" x14ac:dyDescent="0.45">
      <c r="A310" t="s">
        <v>156</v>
      </c>
      <c r="B310">
        <v>121</v>
      </c>
    </row>
    <row r="311" spans="1:2" ht="15" customHeight="1" x14ac:dyDescent="0.45">
      <c r="A311" t="s">
        <v>157</v>
      </c>
      <c r="B311">
        <v>119</v>
      </c>
    </row>
    <row r="312" spans="1:2" ht="15" customHeight="1" x14ac:dyDescent="0.45">
      <c r="A312" t="s">
        <v>158</v>
      </c>
      <c r="B312">
        <v>120</v>
      </c>
    </row>
    <row r="313" spans="1:2" ht="15" customHeight="1" x14ac:dyDescent="0.45">
      <c r="A313" t="s">
        <v>159</v>
      </c>
      <c r="B313">
        <v>128</v>
      </c>
    </row>
    <row r="314" spans="1:2" ht="15" customHeight="1" x14ac:dyDescent="0.45">
      <c r="A314" t="s">
        <v>160</v>
      </c>
      <c r="B314">
        <v>113</v>
      </c>
    </row>
    <row r="315" spans="1:2" ht="15" customHeight="1" x14ac:dyDescent="0.45">
      <c r="A315" t="s">
        <v>161</v>
      </c>
      <c r="B315">
        <v>113</v>
      </c>
    </row>
    <row r="316" spans="1:2" ht="15" customHeight="1" x14ac:dyDescent="0.45">
      <c r="A316" t="s">
        <v>162</v>
      </c>
      <c r="B316">
        <v>126</v>
      </c>
    </row>
    <row r="317" spans="1:2" ht="15" customHeight="1" x14ac:dyDescent="0.45">
      <c r="A317" t="s">
        <v>163</v>
      </c>
      <c r="B317">
        <v>135</v>
      </c>
    </row>
    <row r="318" spans="1:2" ht="15" customHeight="1" x14ac:dyDescent="0.45">
      <c r="A318" t="s">
        <v>164</v>
      </c>
      <c r="B318">
        <v>117</v>
      </c>
    </row>
    <row r="319" spans="1:2" ht="15" customHeight="1" x14ac:dyDescent="0.45">
      <c r="A319" t="s">
        <v>165</v>
      </c>
      <c r="B319">
        <v>146</v>
      </c>
    </row>
    <row r="320" spans="1:2" ht="15" customHeight="1" x14ac:dyDescent="0.45">
      <c r="A320" t="s">
        <v>166</v>
      </c>
      <c r="B320">
        <v>126</v>
      </c>
    </row>
    <row r="321" spans="1:2" ht="15" customHeight="1" x14ac:dyDescent="0.45">
      <c r="A321" t="s">
        <v>167</v>
      </c>
      <c r="B321">
        <v>140</v>
      </c>
    </row>
    <row r="322" spans="1:2" ht="15" customHeight="1" x14ac:dyDescent="0.45">
      <c r="A322" t="s">
        <v>168</v>
      </c>
      <c r="B322">
        <v>145</v>
      </c>
    </row>
    <row r="323" spans="1:2" ht="15" customHeight="1" x14ac:dyDescent="0.45">
      <c r="A323" t="s">
        <v>169</v>
      </c>
      <c r="B323">
        <v>168</v>
      </c>
    </row>
    <row r="324" spans="1:2" ht="15" customHeight="1" x14ac:dyDescent="0.45">
      <c r="A324" t="s">
        <v>170</v>
      </c>
      <c r="B324">
        <v>126</v>
      </c>
    </row>
    <row r="325" spans="1:2" ht="15" customHeight="1" x14ac:dyDescent="0.45">
      <c r="A325" t="s">
        <v>171</v>
      </c>
      <c r="B325">
        <v>152</v>
      </c>
    </row>
    <row r="326" spans="1:2" ht="15" customHeight="1" x14ac:dyDescent="0.45">
      <c r="A326" t="s">
        <v>172</v>
      </c>
      <c r="B326">
        <v>117</v>
      </c>
    </row>
    <row r="327" spans="1:2" ht="15" customHeight="1" x14ac:dyDescent="0.45">
      <c r="A327" t="s">
        <v>173</v>
      </c>
      <c r="B327">
        <v>139</v>
      </c>
    </row>
    <row r="328" spans="1:2" ht="15" customHeight="1" x14ac:dyDescent="0.45">
      <c r="A328" t="s">
        <v>174</v>
      </c>
      <c r="B328">
        <v>132</v>
      </c>
    </row>
    <row r="329" spans="1:2" ht="15" customHeight="1" x14ac:dyDescent="0.45">
      <c r="A329" t="s">
        <v>175</v>
      </c>
      <c r="B329">
        <v>157</v>
      </c>
    </row>
    <row r="330" spans="1:2" ht="15" customHeight="1" x14ac:dyDescent="0.45">
      <c r="A330" t="s">
        <v>176</v>
      </c>
      <c r="B330">
        <v>159</v>
      </c>
    </row>
    <row r="331" spans="1:2" ht="15" customHeight="1" x14ac:dyDescent="0.45">
      <c r="A331" t="s">
        <v>177</v>
      </c>
      <c r="B331">
        <v>137</v>
      </c>
    </row>
    <row r="332" spans="1:2" ht="15" customHeight="1" x14ac:dyDescent="0.45">
      <c r="A332" t="s">
        <v>178</v>
      </c>
      <c r="B332">
        <v>153</v>
      </c>
    </row>
    <row r="333" spans="1:2" ht="15" customHeight="1" x14ac:dyDescent="0.45">
      <c r="A333" t="s">
        <v>179</v>
      </c>
      <c r="B333">
        <v>165</v>
      </c>
    </row>
    <row r="334" spans="1:2" ht="15" customHeight="1" x14ac:dyDescent="0.45">
      <c r="A334" t="s">
        <v>180</v>
      </c>
      <c r="B334">
        <v>127</v>
      </c>
    </row>
    <row r="335" spans="1:2" ht="15" customHeight="1" x14ac:dyDescent="0.45">
      <c r="A335" t="s">
        <v>181</v>
      </c>
      <c r="B335">
        <v>147</v>
      </c>
    </row>
    <row r="336" spans="1:2" ht="15" customHeight="1" x14ac:dyDescent="0.45">
      <c r="A336" t="s">
        <v>182</v>
      </c>
      <c r="B336">
        <v>151</v>
      </c>
    </row>
    <row r="337" spans="1:2" ht="15" customHeight="1" x14ac:dyDescent="0.45">
      <c r="A337" t="s">
        <v>183</v>
      </c>
      <c r="B337">
        <v>168</v>
      </c>
    </row>
    <row r="338" spans="1:2" ht="15" customHeight="1" x14ac:dyDescent="0.45">
      <c r="A338" t="s">
        <v>184</v>
      </c>
      <c r="B338">
        <v>136</v>
      </c>
    </row>
    <row r="339" spans="1:2" ht="15" customHeight="1" x14ac:dyDescent="0.45">
      <c r="A339" t="s">
        <v>185</v>
      </c>
      <c r="B339">
        <v>170</v>
      </c>
    </row>
    <row r="340" spans="1:2" ht="15" customHeight="1" x14ac:dyDescent="0.45">
      <c r="A340" t="s">
        <v>186</v>
      </c>
      <c r="B340">
        <v>158</v>
      </c>
    </row>
    <row r="341" spans="1:2" ht="15" customHeight="1" x14ac:dyDescent="0.45">
      <c r="A341" t="s">
        <v>187</v>
      </c>
      <c r="B341">
        <v>164</v>
      </c>
    </row>
    <row r="342" spans="1:2" ht="15" customHeight="1" x14ac:dyDescent="0.45">
      <c r="A342" t="s">
        <v>188</v>
      </c>
      <c r="B342">
        <v>167</v>
      </c>
    </row>
    <row r="343" spans="1:2" ht="15" customHeight="1" x14ac:dyDescent="0.45">
      <c r="A343" t="s">
        <v>189</v>
      </c>
      <c r="B343">
        <v>150</v>
      </c>
    </row>
    <row r="344" spans="1:2" ht="15" customHeight="1" x14ac:dyDescent="0.45">
      <c r="A344" t="s">
        <v>190</v>
      </c>
      <c r="B344">
        <v>155</v>
      </c>
    </row>
    <row r="345" spans="1:2" ht="15" customHeight="1" x14ac:dyDescent="0.45">
      <c r="A345" t="s">
        <v>191</v>
      </c>
      <c r="B345">
        <v>160</v>
      </c>
    </row>
    <row r="346" spans="1:2" ht="15" customHeight="1" x14ac:dyDescent="0.45">
      <c r="A346" t="s">
        <v>192</v>
      </c>
      <c r="B346">
        <v>177</v>
      </c>
    </row>
    <row r="347" spans="1:2" ht="15" customHeight="1" x14ac:dyDescent="0.45">
      <c r="A347" t="s">
        <v>193</v>
      </c>
      <c r="B347">
        <v>154</v>
      </c>
    </row>
    <row r="348" spans="1:2" ht="15" customHeight="1" x14ac:dyDescent="0.45">
      <c r="A348" t="s">
        <v>194</v>
      </c>
      <c r="B348">
        <v>185</v>
      </c>
    </row>
    <row r="349" spans="1:2" ht="15" customHeight="1" x14ac:dyDescent="0.45">
      <c r="A349" t="s">
        <v>195</v>
      </c>
      <c r="B349">
        <v>169</v>
      </c>
    </row>
    <row r="350" spans="1:2" ht="15" customHeight="1" x14ac:dyDescent="0.45">
      <c r="A350" t="s">
        <v>196</v>
      </c>
      <c r="B350">
        <v>177</v>
      </c>
    </row>
    <row r="351" spans="1:2" ht="15" customHeight="1" x14ac:dyDescent="0.45">
      <c r="A351" t="s">
        <v>197</v>
      </c>
      <c r="B351">
        <v>165</v>
      </c>
    </row>
    <row r="352" spans="1:2" ht="15" customHeight="1" x14ac:dyDescent="0.45">
      <c r="A352" t="s">
        <v>198</v>
      </c>
      <c r="B352">
        <v>198</v>
      </c>
    </row>
    <row r="353" spans="1:2" ht="15" customHeight="1" x14ac:dyDescent="0.45">
      <c r="A353" t="s">
        <v>199</v>
      </c>
      <c r="B353">
        <v>182</v>
      </c>
    </row>
    <row r="354" spans="1:2" ht="15" customHeight="1" x14ac:dyDescent="0.45">
      <c r="A354" t="s">
        <v>200</v>
      </c>
      <c r="B354">
        <v>196</v>
      </c>
    </row>
    <row r="355" spans="1:2" ht="15" customHeight="1" x14ac:dyDescent="0.45">
      <c r="A355" t="s">
        <v>201</v>
      </c>
      <c r="B355">
        <v>175</v>
      </c>
    </row>
    <row r="356" spans="1:2" ht="15" customHeight="1" x14ac:dyDescent="0.45">
      <c r="A356" t="s">
        <v>202</v>
      </c>
      <c r="B356">
        <v>190</v>
      </c>
    </row>
    <row r="357" spans="1:2" ht="15" customHeight="1" x14ac:dyDescent="0.45">
      <c r="A357" t="s">
        <v>203</v>
      </c>
      <c r="B357">
        <v>178</v>
      </c>
    </row>
    <row r="358" spans="1:2" ht="15" customHeight="1" x14ac:dyDescent="0.45">
      <c r="A358" t="s">
        <v>204</v>
      </c>
      <c r="B358">
        <v>178</v>
      </c>
    </row>
    <row r="359" spans="1:2" ht="15" customHeight="1" x14ac:dyDescent="0.45">
      <c r="A359" t="s">
        <v>205</v>
      </c>
      <c r="B359">
        <v>177</v>
      </c>
    </row>
    <row r="360" spans="1:2" ht="15" customHeight="1" x14ac:dyDescent="0.45">
      <c r="A360" t="s">
        <v>206</v>
      </c>
      <c r="B360">
        <v>190</v>
      </c>
    </row>
    <row r="361" spans="1:2" ht="15" customHeight="1" x14ac:dyDescent="0.45">
      <c r="A361" t="s">
        <v>207</v>
      </c>
      <c r="B361">
        <v>190</v>
      </c>
    </row>
    <row r="362" spans="1:2" ht="15" customHeight="1" x14ac:dyDescent="0.45">
      <c r="A362" t="s">
        <v>208</v>
      </c>
      <c r="B362">
        <v>171</v>
      </c>
    </row>
    <row r="363" spans="1:2" ht="15" customHeight="1" x14ac:dyDescent="0.45">
      <c r="A363" t="s">
        <v>209</v>
      </c>
      <c r="B363">
        <v>177</v>
      </c>
    </row>
    <row r="364" spans="1:2" ht="15" customHeight="1" x14ac:dyDescent="0.45">
      <c r="A364" t="s">
        <v>210</v>
      </c>
      <c r="B364">
        <v>197</v>
      </c>
    </row>
    <row r="365" spans="1:2" ht="15" customHeight="1" x14ac:dyDescent="0.45">
      <c r="A365" t="s">
        <v>211</v>
      </c>
      <c r="B365">
        <v>222</v>
      </c>
    </row>
    <row r="366" spans="1:2" ht="15" customHeight="1" x14ac:dyDescent="0.45">
      <c r="A366" t="s">
        <v>212</v>
      </c>
      <c r="B366">
        <v>200</v>
      </c>
    </row>
    <row r="367" spans="1:2" ht="15" customHeight="1" x14ac:dyDescent="0.45">
      <c r="A367" t="s">
        <v>213</v>
      </c>
      <c r="B367">
        <v>225</v>
      </c>
    </row>
    <row r="368" spans="1:2" ht="15" customHeight="1" x14ac:dyDescent="0.45">
      <c r="A368" t="s">
        <v>214</v>
      </c>
      <c r="B368">
        <v>221</v>
      </c>
    </row>
    <row r="369" spans="1:4" ht="15" customHeight="1" x14ac:dyDescent="0.45">
      <c r="A369" t="s">
        <v>215</v>
      </c>
      <c r="B369">
        <v>214</v>
      </c>
    </row>
    <row r="370" spans="1:4" ht="15" customHeight="1" x14ac:dyDescent="0.45">
      <c r="A370" t="s">
        <v>216</v>
      </c>
      <c r="B370">
        <v>198</v>
      </c>
    </row>
    <row r="371" spans="1:4" ht="15" customHeight="1" x14ac:dyDescent="0.45">
      <c r="A371" t="s">
        <v>217</v>
      </c>
      <c r="B371">
        <v>225</v>
      </c>
    </row>
    <row r="372" spans="1:4" ht="15" customHeight="1" x14ac:dyDescent="0.45">
      <c r="A372" t="s">
        <v>218</v>
      </c>
      <c r="B372">
        <v>217</v>
      </c>
    </row>
    <row r="373" spans="1:4" ht="15" customHeight="1" x14ac:dyDescent="0.45">
      <c r="A373" t="s">
        <v>219</v>
      </c>
      <c r="B373">
        <v>232</v>
      </c>
    </row>
    <row r="374" spans="1:4" ht="15" customHeight="1" x14ac:dyDescent="0.45">
      <c r="A374" t="s">
        <v>220</v>
      </c>
      <c r="B374">
        <v>180</v>
      </c>
    </row>
    <row r="375" spans="1:4" ht="15" customHeight="1" x14ac:dyDescent="0.45">
      <c r="A375" t="s">
        <v>221</v>
      </c>
      <c r="B375">
        <v>214</v>
      </c>
    </row>
    <row r="376" spans="1:4" ht="15" customHeight="1" x14ac:dyDescent="0.45">
      <c r="A376" t="s">
        <v>222</v>
      </c>
      <c r="B376">
        <v>210</v>
      </c>
    </row>
    <row r="377" spans="1:4" ht="15" customHeight="1" x14ac:dyDescent="0.45">
      <c r="A377" t="s">
        <v>223</v>
      </c>
      <c r="B377">
        <v>223</v>
      </c>
    </row>
    <row r="380" spans="1:4" ht="15" customHeight="1" x14ac:dyDescent="0.45">
      <c r="A380" s="8" t="s">
        <v>311</v>
      </c>
    </row>
    <row r="381" spans="1:4" ht="15" customHeight="1" x14ac:dyDescent="0.45">
      <c r="A381" t="s">
        <v>312</v>
      </c>
      <c r="B381" t="s">
        <v>313</v>
      </c>
      <c r="C381" t="s">
        <v>314</v>
      </c>
      <c r="D381" t="s">
        <v>315</v>
      </c>
    </row>
    <row r="382" spans="1:4" ht="15" customHeight="1" x14ac:dyDescent="0.45">
      <c r="A382" t="s">
        <v>299</v>
      </c>
      <c r="B382">
        <v>100</v>
      </c>
      <c r="C382">
        <v>90</v>
      </c>
      <c r="D382">
        <v>85</v>
      </c>
    </row>
    <row r="383" spans="1:4" ht="15" customHeight="1" x14ac:dyDescent="0.45">
      <c r="A383" t="s">
        <v>300</v>
      </c>
      <c r="B383">
        <v>100</v>
      </c>
      <c r="C383">
        <v>100</v>
      </c>
      <c r="D383">
        <v>95.2</v>
      </c>
    </row>
    <row r="384" spans="1:4" ht="15" customHeight="1" x14ac:dyDescent="0.45">
      <c r="A384" t="s">
        <v>302</v>
      </c>
      <c r="B384">
        <v>100</v>
      </c>
      <c r="C384">
        <v>100</v>
      </c>
      <c r="D384">
        <v>100</v>
      </c>
    </row>
    <row r="385" spans="1:4" ht="15" customHeight="1" x14ac:dyDescent="0.45">
      <c r="A385" t="s">
        <v>303</v>
      </c>
      <c r="B385">
        <v>100</v>
      </c>
      <c r="C385">
        <v>100</v>
      </c>
      <c r="D385">
        <v>100</v>
      </c>
    </row>
    <row r="386" spans="1:4" ht="15" customHeight="1" x14ac:dyDescent="0.45">
      <c r="A386" t="s">
        <v>304</v>
      </c>
      <c r="B386">
        <v>97</v>
      </c>
      <c r="C386">
        <v>97</v>
      </c>
      <c r="D386">
        <v>93.9</v>
      </c>
    </row>
    <row r="387" spans="1:4" ht="15" customHeight="1" x14ac:dyDescent="0.45">
      <c r="A387" t="s">
        <v>305</v>
      </c>
      <c r="B387">
        <v>100</v>
      </c>
      <c r="C387">
        <v>100</v>
      </c>
      <c r="D387">
        <v>100</v>
      </c>
    </row>
    <row r="388" spans="1:4" ht="15" customHeight="1" x14ac:dyDescent="0.45">
      <c r="A388" t="s">
        <v>306</v>
      </c>
      <c r="B388">
        <v>100</v>
      </c>
      <c r="C388">
        <v>100</v>
      </c>
      <c r="D388">
        <v>97.4</v>
      </c>
    </row>
    <row r="389" spans="1:4" ht="15" customHeight="1" x14ac:dyDescent="0.45">
      <c r="A389" t="s">
        <v>307</v>
      </c>
      <c r="B389">
        <v>100</v>
      </c>
      <c r="C389">
        <v>96.7</v>
      </c>
      <c r="D389">
        <v>96.7</v>
      </c>
    </row>
    <row r="390" spans="1:4" ht="15" customHeight="1" x14ac:dyDescent="0.45">
      <c r="A390" t="s">
        <v>308</v>
      </c>
      <c r="B390">
        <v>100</v>
      </c>
      <c r="C390">
        <v>100</v>
      </c>
      <c r="D390">
        <v>100</v>
      </c>
    </row>
    <row r="391" spans="1:4" ht="15" customHeight="1" x14ac:dyDescent="0.45">
      <c r="A391" t="s">
        <v>115</v>
      </c>
      <c r="B391">
        <v>100</v>
      </c>
      <c r="C391">
        <v>100</v>
      </c>
      <c r="D391">
        <v>94.1</v>
      </c>
    </row>
    <row r="392" spans="1:4" ht="15" customHeight="1" x14ac:dyDescent="0.45">
      <c r="A392" t="s">
        <v>116</v>
      </c>
      <c r="B392">
        <v>97.3</v>
      </c>
      <c r="C392">
        <v>97.3</v>
      </c>
      <c r="D392">
        <v>97.3</v>
      </c>
    </row>
    <row r="393" spans="1:4" ht="15" customHeight="1" x14ac:dyDescent="0.45">
      <c r="A393" t="s">
        <v>117</v>
      </c>
      <c r="B393">
        <v>96.2</v>
      </c>
      <c r="C393">
        <v>96.2</v>
      </c>
      <c r="D393">
        <v>96.2</v>
      </c>
    </row>
    <row r="394" spans="1:4" ht="15" customHeight="1" x14ac:dyDescent="0.45">
      <c r="A394" t="s">
        <v>309</v>
      </c>
      <c r="B394">
        <v>100</v>
      </c>
      <c r="C394">
        <v>100</v>
      </c>
      <c r="D394">
        <v>100</v>
      </c>
    </row>
    <row r="395" spans="1:4" ht="15" customHeight="1" x14ac:dyDescent="0.45">
      <c r="A395" t="s">
        <v>118</v>
      </c>
      <c r="B395">
        <v>100</v>
      </c>
      <c r="C395">
        <v>98.2</v>
      </c>
      <c r="D395">
        <v>96.4</v>
      </c>
    </row>
    <row r="396" spans="1:4" ht="15" customHeight="1" x14ac:dyDescent="0.45">
      <c r="A396" t="s">
        <v>310</v>
      </c>
      <c r="B396">
        <v>100</v>
      </c>
      <c r="C396">
        <v>100</v>
      </c>
      <c r="D396">
        <v>97.1</v>
      </c>
    </row>
    <row r="397" spans="1:4" ht="15" customHeight="1" x14ac:dyDescent="0.45">
      <c r="A397" t="s">
        <v>119</v>
      </c>
      <c r="B397">
        <v>100</v>
      </c>
      <c r="C397">
        <v>100</v>
      </c>
      <c r="D397">
        <v>96.1</v>
      </c>
    </row>
    <row r="398" spans="1:4" ht="15" customHeight="1" x14ac:dyDescent="0.45">
      <c r="A398" t="s">
        <v>120</v>
      </c>
      <c r="B398">
        <v>100</v>
      </c>
      <c r="C398">
        <v>100</v>
      </c>
      <c r="D398">
        <v>100</v>
      </c>
    </row>
    <row r="399" spans="1:4" ht="15" customHeight="1" x14ac:dyDescent="0.45">
      <c r="A399" t="s">
        <v>121</v>
      </c>
      <c r="B399">
        <v>100</v>
      </c>
      <c r="C399">
        <v>100</v>
      </c>
      <c r="D399">
        <v>98.2</v>
      </c>
    </row>
    <row r="400" spans="1:4" ht="15" customHeight="1" x14ac:dyDescent="0.45">
      <c r="A400" t="s">
        <v>122</v>
      </c>
      <c r="B400">
        <v>100</v>
      </c>
      <c r="C400">
        <v>97.2</v>
      </c>
      <c r="D400">
        <v>94.4</v>
      </c>
    </row>
    <row r="401" spans="1:4" ht="15" customHeight="1" x14ac:dyDescent="0.45">
      <c r="A401" t="s">
        <v>123</v>
      </c>
      <c r="B401">
        <v>100</v>
      </c>
      <c r="C401">
        <v>98.5</v>
      </c>
      <c r="D401">
        <v>97</v>
      </c>
    </row>
    <row r="402" spans="1:4" ht="15" customHeight="1" x14ac:dyDescent="0.45">
      <c r="A402" t="s">
        <v>124</v>
      </c>
      <c r="B402">
        <v>98.1</v>
      </c>
      <c r="C402">
        <v>98.1</v>
      </c>
      <c r="D402">
        <v>98.1</v>
      </c>
    </row>
    <row r="403" spans="1:4" ht="15" customHeight="1" x14ac:dyDescent="0.45">
      <c r="A403" t="s">
        <v>125</v>
      </c>
      <c r="B403">
        <v>100</v>
      </c>
      <c r="C403">
        <v>100</v>
      </c>
      <c r="D403">
        <v>97.2</v>
      </c>
    </row>
    <row r="404" spans="1:4" ht="15" customHeight="1" x14ac:dyDescent="0.45">
      <c r="A404" t="s">
        <v>126</v>
      </c>
      <c r="B404">
        <v>98.6</v>
      </c>
      <c r="C404">
        <v>98.6</v>
      </c>
      <c r="D404">
        <v>95.8</v>
      </c>
    </row>
    <row r="405" spans="1:4" ht="15" customHeight="1" x14ac:dyDescent="0.45">
      <c r="A405" t="s">
        <v>127</v>
      </c>
      <c r="B405">
        <v>100</v>
      </c>
      <c r="C405">
        <v>100</v>
      </c>
      <c r="D405">
        <v>98</v>
      </c>
    </row>
    <row r="406" spans="1:4" ht="15" customHeight="1" x14ac:dyDescent="0.45">
      <c r="A406" t="s">
        <v>128</v>
      </c>
      <c r="B406">
        <v>98.8</v>
      </c>
      <c r="C406">
        <v>95.2</v>
      </c>
      <c r="D406">
        <v>91.6</v>
      </c>
    </row>
    <row r="407" spans="1:4" ht="15" customHeight="1" x14ac:dyDescent="0.45">
      <c r="A407" t="s">
        <v>129</v>
      </c>
      <c r="B407">
        <v>100</v>
      </c>
      <c r="C407">
        <v>98.2</v>
      </c>
      <c r="D407">
        <v>96.5</v>
      </c>
    </row>
    <row r="408" spans="1:4" ht="15" customHeight="1" x14ac:dyDescent="0.45">
      <c r="A408" t="s">
        <v>130</v>
      </c>
      <c r="B408">
        <v>97.4</v>
      </c>
      <c r="C408">
        <v>97.4</v>
      </c>
      <c r="D408">
        <v>94.8</v>
      </c>
    </row>
    <row r="409" spans="1:4" ht="15" customHeight="1" x14ac:dyDescent="0.45">
      <c r="A409" t="s">
        <v>131</v>
      </c>
      <c r="B409">
        <v>95.9</v>
      </c>
      <c r="C409">
        <v>95.9</v>
      </c>
      <c r="D409">
        <v>94.5</v>
      </c>
    </row>
    <row r="410" spans="1:4" ht="15" customHeight="1" x14ac:dyDescent="0.45">
      <c r="A410" t="s">
        <v>132</v>
      </c>
      <c r="B410">
        <v>100</v>
      </c>
      <c r="C410">
        <v>98.6</v>
      </c>
      <c r="D410">
        <v>97.2</v>
      </c>
    </row>
    <row r="411" spans="1:4" ht="15" customHeight="1" x14ac:dyDescent="0.45">
      <c r="A411" t="s">
        <v>133</v>
      </c>
      <c r="B411">
        <v>100</v>
      </c>
      <c r="C411">
        <v>100</v>
      </c>
      <c r="D411">
        <v>100</v>
      </c>
    </row>
    <row r="412" spans="1:4" ht="15" customHeight="1" x14ac:dyDescent="0.45">
      <c r="A412" t="s">
        <v>134</v>
      </c>
      <c r="B412">
        <v>100</v>
      </c>
      <c r="C412">
        <v>100</v>
      </c>
      <c r="D412">
        <v>93.7</v>
      </c>
    </row>
    <row r="413" spans="1:4" ht="15" customHeight="1" x14ac:dyDescent="0.45">
      <c r="A413" t="s">
        <v>135</v>
      </c>
      <c r="B413">
        <v>98.8</v>
      </c>
      <c r="C413">
        <v>97.5</v>
      </c>
      <c r="D413">
        <v>93.8</v>
      </c>
    </row>
    <row r="414" spans="1:4" ht="15" customHeight="1" x14ac:dyDescent="0.45">
      <c r="A414" t="s">
        <v>136</v>
      </c>
      <c r="B414">
        <v>97.6</v>
      </c>
      <c r="C414">
        <v>93.9</v>
      </c>
      <c r="D414">
        <v>93.9</v>
      </c>
    </row>
    <row r="415" spans="1:4" ht="15" customHeight="1" x14ac:dyDescent="0.45">
      <c r="A415" t="s">
        <v>137</v>
      </c>
      <c r="B415">
        <v>100</v>
      </c>
      <c r="C415">
        <v>100</v>
      </c>
      <c r="D415">
        <v>97.5</v>
      </c>
    </row>
    <row r="416" spans="1:4" ht="15" customHeight="1" x14ac:dyDescent="0.45">
      <c r="A416" t="s">
        <v>138</v>
      </c>
      <c r="B416">
        <v>100</v>
      </c>
      <c r="C416">
        <v>100</v>
      </c>
      <c r="D416">
        <v>98.7</v>
      </c>
    </row>
    <row r="417" spans="1:4" ht="15" customHeight="1" x14ac:dyDescent="0.45">
      <c r="A417" t="s">
        <v>139</v>
      </c>
      <c r="B417">
        <v>100</v>
      </c>
      <c r="C417">
        <v>100</v>
      </c>
      <c r="D417">
        <v>98.8</v>
      </c>
    </row>
    <row r="418" spans="1:4" ht="15" customHeight="1" x14ac:dyDescent="0.45">
      <c r="A418" t="s">
        <v>140</v>
      </c>
      <c r="B418">
        <v>98.9</v>
      </c>
      <c r="C418">
        <v>97.9</v>
      </c>
      <c r="D418">
        <v>96.8</v>
      </c>
    </row>
    <row r="419" spans="1:4" ht="15" customHeight="1" x14ac:dyDescent="0.45">
      <c r="A419" t="s">
        <v>141</v>
      </c>
      <c r="B419">
        <v>100</v>
      </c>
      <c r="C419">
        <v>98.9</v>
      </c>
      <c r="D419">
        <v>97.8</v>
      </c>
    </row>
    <row r="420" spans="1:4" ht="15" customHeight="1" x14ac:dyDescent="0.45">
      <c r="A420" t="s">
        <v>142</v>
      </c>
      <c r="B420">
        <v>99</v>
      </c>
      <c r="C420">
        <v>99</v>
      </c>
      <c r="D420">
        <v>96.9</v>
      </c>
    </row>
    <row r="421" spans="1:4" ht="15" customHeight="1" x14ac:dyDescent="0.45">
      <c r="A421" t="s">
        <v>143</v>
      </c>
      <c r="B421">
        <v>98.8</v>
      </c>
      <c r="C421">
        <v>97.6</v>
      </c>
      <c r="D421">
        <v>92.9</v>
      </c>
    </row>
    <row r="422" spans="1:4" ht="15" customHeight="1" x14ac:dyDescent="0.45">
      <c r="A422" t="s">
        <v>144</v>
      </c>
      <c r="B422">
        <v>98.9</v>
      </c>
      <c r="C422">
        <v>97.8</v>
      </c>
      <c r="D422">
        <v>95.6</v>
      </c>
    </row>
    <row r="423" spans="1:4" ht="15" customHeight="1" x14ac:dyDescent="0.45">
      <c r="A423" t="s">
        <v>145</v>
      </c>
      <c r="B423">
        <v>99.1</v>
      </c>
      <c r="C423">
        <v>96.4</v>
      </c>
      <c r="D423">
        <v>94.6</v>
      </c>
    </row>
    <row r="424" spans="1:4" ht="15" customHeight="1" x14ac:dyDescent="0.45">
      <c r="A424" t="s">
        <v>146</v>
      </c>
      <c r="B424">
        <v>96.5</v>
      </c>
      <c r="C424">
        <v>95.3</v>
      </c>
      <c r="D424">
        <v>92.9</v>
      </c>
    </row>
    <row r="425" spans="1:4" ht="15" customHeight="1" x14ac:dyDescent="0.45">
      <c r="A425" t="s">
        <v>147</v>
      </c>
      <c r="B425">
        <v>100</v>
      </c>
      <c r="C425">
        <v>100</v>
      </c>
      <c r="D425">
        <v>100</v>
      </c>
    </row>
    <row r="426" spans="1:4" ht="15" customHeight="1" x14ac:dyDescent="0.45">
      <c r="A426" t="s">
        <v>148</v>
      </c>
      <c r="B426">
        <v>100</v>
      </c>
      <c r="C426">
        <v>97.4</v>
      </c>
      <c r="D426">
        <v>96.5</v>
      </c>
    </row>
    <row r="427" spans="1:4" ht="15" customHeight="1" x14ac:dyDescent="0.45">
      <c r="A427" t="s">
        <v>149</v>
      </c>
      <c r="B427">
        <v>98.9</v>
      </c>
      <c r="C427">
        <v>96.8</v>
      </c>
      <c r="D427">
        <v>93.7</v>
      </c>
    </row>
    <row r="428" spans="1:4" ht="15" customHeight="1" x14ac:dyDescent="0.45">
      <c r="A428" t="s">
        <v>150</v>
      </c>
      <c r="B428">
        <v>98.3</v>
      </c>
      <c r="C428">
        <v>98.3</v>
      </c>
      <c r="D428">
        <v>95</v>
      </c>
    </row>
    <row r="429" spans="1:4" ht="15" customHeight="1" x14ac:dyDescent="0.45">
      <c r="A429" t="s">
        <v>151</v>
      </c>
      <c r="B429">
        <v>96.5</v>
      </c>
      <c r="C429">
        <v>95.3</v>
      </c>
      <c r="D429">
        <v>91.9</v>
      </c>
    </row>
    <row r="430" spans="1:4" ht="15" customHeight="1" x14ac:dyDescent="0.45">
      <c r="A430" t="s">
        <v>152</v>
      </c>
      <c r="B430">
        <v>100</v>
      </c>
      <c r="C430">
        <v>97.3</v>
      </c>
      <c r="D430">
        <v>94.5</v>
      </c>
    </row>
    <row r="431" spans="1:4" ht="15" customHeight="1" x14ac:dyDescent="0.45">
      <c r="A431" t="s">
        <v>153</v>
      </c>
      <c r="B431">
        <v>100</v>
      </c>
      <c r="C431">
        <v>97.4</v>
      </c>
      <c r="D431">
        <v>94.9</v>
      </c>
    </row>
    <row r="432" spans="1:4" ht="15" customHeight="1" x14ac:dyDescent="0.45">
      <c r="A432" t="s">
        <v>154</v>
      </c>
      <c r="B432">
        <v>97.7</v>
      </c>
      <c r="C432">
        <v>96.9</v>
      </c>
      <c r="D432">
        <v>95.4</v>
      </c>
    </row>
    <row r="433" spans="1:4" ht="15" customHeight="1" x14ac:dyDescent="0.45">
      <c r="A433" t="s">
        <v>155</v>
      </c>
      <c r="B433">
        <v>99.1</v>
      </c>
      <c r="C433">
        <v>98.2</v>
      </c>
      <c r="D433">
        <v>95.6</v>
      </c>
    </row>
    <row r="434" spans="1:4" ht="15" customHeight="1" x14ac:dyDescent="0.45">
      <c r="A434" t="s">
        <v>156</v>
      </c>
      <c r="B434">
        <v>98.3</v>
      </c>
      <c r="C434">
        <v>96.7</v>
      </c>
      <c r="D434">
        <v>95.9</v>
      </c>
    </row>
    <row r="435" spans="1:4" ht="15" customHeight="1" x14ac:dyDescent="0.45">
      <c r="A435" t="s">
        <v>157</v>
      </c>
      <c r="B435">
        <v>98.3</v>
      </c>
      <c r="C435">
        <v>98.3</v>
      </c>
      <c r="D435">
        <v>96.6</v>
      </c>
    </row>
    <row r="436" spans="1:4" ht="15" customHeight="1" x14ac:dyDescent="0.45">
      <c r="A436" t="s">
        <v>158</v>
      </c>
      <c r="B436">
        <v>99.2</v>
      </c>
      <c r="C436">
        <v>98.3</v>
      </c>
      <c r="D436">
        <v>92.5</v>
      </c>
    </row>
    <row r="437" spans="1:4" ht="15" customHeight="1" x14ac:dyDescent="0.45">
      <c r="A437" t="s">
        <v>159</v>
      </c>
      <c r="B437">
        <v>99.2</v>
      </c>
      <c r="C437">
        <v>96.9</v>
      </c>
      <c r="D437">
        <v>96.1</v>
      </c>
    </row>
    <row r="438" spans="1:4" ht="15" customHeight="1" x14ac:dyDescent="0.45">
      <c r="A438" t="s">
        <v>160</v>
      </c>
      <c r="B438">
        <v>99.1</v>
      </c>
      <c r="C438">
        <v>94.7</v>
      </c>
      <c r="D438">
        <v>90.3</v>
      </c>
    </row>
    <row r="439" spans="1:4" ht="15" customHeight="1" x14ac:dyDescent="0.45">
      <c r="A439" t="s">
        <v>161</v>
      </c>
      <c r="B439">
        <v>98.2</v>
      </c>
      <c r="C439">
        <v>97.3</v>
      </c>
      <c r="D439">
        <v>96.5</v>
      </c>
    </row>
    <row r="440" spans="1:4" ht="15" customHeight="1" x14ac:dyDescent="0.45">
      <c r="A440" t="s">
        <v>162</v>
      </c>
      <c r="B440">
        <v>99.2</v>
      </c>
      <c r="C440">
        <v>96</v>
      </c>
      <c r="D440">
        <v>94.4</v>
      </c>
    </row>
    <row r="441" spans="1:4" ht="15" customHeight="1" x14ac:dyDescent="0.45">
      <c r="A441" t="s">
        <v>163</v>
      </c>
      <c r="B441">
        <v>100</v>
      </c>
      <c r="C441">
        <v>97.8</v>
      </c>
      <c r="D441">
        <v>95.6</v>
      </c>
    </row>
    <row r="442" spans="1:4" ht="15" customHeight="1" x14ac:dyDescent="0.45">
      <c r="A442" t="s">
        <v>164</v>
      </c>
      <c r="B442">
        <v>99.1</v>
      </c>
      <c r="C442">
        <v>98.3</v>
      </c>
      <c r="D442">
        <v>94.9</v>
      </c>
    </row>
    <row r="443" spans="1:4" ht="15" customHeight="1" x14ac:dyDescent="0.45">
      <c r="A443" t="s">
        <v>165</v>
      </c>
      <c r="B443">
        <v>100</v>
      </c>
      <c r="C443">
        <v>98.6</v>
      </c>
      <c r="D443">
        <v>97.9</v>
      </c>
    </row>
    <row r="444" spans="1:4" ht="15" customHeight="1" x14ac:dyDescent="0.45">
      <c r="A444" t="s">
        <v>166</v>
      </c>
      <c r="B444">
        <v>97.6</v>
      </c>
      <c r="C444">
        <v>94.4</v>
      </c>
      <c r="D444">
        <v>90.5</v>
      </c>
    </row>
    <row r="445" spans="1:4" ht="15" customHeight="1" x14ac:dyDescent="0.45">
      <c r="A445" t="s">
        <v>167</v>
      </c>
      <c r="B445">
        <v>99.3</v>
      </c>
      <c r="C445">
        <v>97.1</v>
      </c>
      <c r="D445">
        <v>91.4</v>
      </c>
    </row>
    <row r="446" spans="1:4" ht="15" customHeight="1" x14ac:dyDescent="0.45">
      <c r="A446" t="s">
        <v>168</v>
      </c>
      <c r="B446">
        <v>98.6</v>
      </c>
      <c r="C446">
        <v>97.9</v>
      </c>
      <c r="D446">
        <v>94.5</v>
      </c>
    </row>
    <row r="447" spans="1:4" ht="15" customHeight="1" x14ac:dyDescent="0.45">
      <c r="A447" t="s">
        <v>169</v>
      </c>
      <c r="B447">
        <v>98.8</v>
      </c>
      <c r="C447">
        <v>98.8</v>
      </c>
      <c r="D447">
        <v>97.6</v>
      </c>
    </row>
    <row r="448" spans="1:4" ht="15" customHeight="1" x14ac:dyDescent="0.45">
      <c r="A448" t="s">
        <v>170</v>
      </c>
      <c r="B448">
        <v>98.4</v>
      </c>
      <c r="C448">
        <v>95.2</v>
      </c>
      <c r="D448">
        <v>90.5</v>
      </c>
    </row>
    <row r="449" spans="1:4" ht="15" customHeight="1" x14ac:dyDescent="0.45">
      <c r="A449" t="s">
        <v>171</v>
      </c>
      <c r="B449">
        <v>100</v>
      </c>
      <c r="C449">
        <v>98.7</v>
      </c>
      <c r="D449">
        <v>94.7</v>
      </c>
    </row>
    <row r="450" spans="1:4" ht="15" customHeight="1" x14ac:dyDescent="0.45">
      <c r="A450" t="s">
        <v>172</v>
      </c>
      <c r="B450">
        <v>99.1</v>
      </c>
      <c r="C450">
        <v>98.3</v>
      </c>
      <c r="D450">
        <v>96.6</v>
      </c>
    </row>
    <row r="451" spans="1:4" ht="15" customHeight="1" x14ac:dyDescent="0.45">
      <c r="A451" t="s">
        <v>173</v>
      </c>
      <c r="B451">
        <v>97.8</v>
      </c>
      <c r="C451">
        <v>97.1</v>
      </c>
      <c r="D451">
        <v>95</v>
      </c>
    </row>
    <row r="452" spans="1:4" ht="15" customHeight="1" x14ac:dyDescent="0.45">
      <c r="A452" t="s">
        <v>174</v>
      </c>
      <c r="B452">
        <v>99.2</v>
      </c>
      <c r="C452">
        <v>99.2</v>
      </c>
      <c r="D452">
        <v>98.5</v>
      </c>
    </row>
    <row r="453" spans="1:4" ht="15" customHeight="1" x14ac:dyDescent="0.45">
      <c r="A453" t="s">
        <v>175</v>
      </c>
      <c r="B453">
        <v>99.4</v>
      </c>
      <c r="C453">
        <v>98.7</v>
      </c>
      <c r="D453">
        <v>98.1</v>
      </c>
    </row>
    <row r="454" spans="1:4" ht="15" customHeight="1" x14ac:dyDescent="0.45">
      <c r="A454" t="s">
        <v>176</v>
      </c>
      <c r="B454">
        <v>97.5</v>
      </c>
      <c r="C454">
        <v>95.6</v>
      </c>
      <c r="D454">
        <v>91.8</v>
      </c>
    </row>
    <row r="455" spans="1:4" ht="15" customHeight="1" x14ac:dyDescent="0.45">
      <c r="A455" t="s">
        <v>177</v>
      </c>
      <c r="B455">
        <v>98.5</v>
      </c>
      <c r="C455">
        <v>94.9</v>
      </c>
      <c r="D455">
        <v>91.2</v>
      </c>
    </row>
    <row r="456" spans="1:4" ht="15" customHeight="1" x14ac:dyDescent="0.45">
      <c r="A456" t="s">
        <v>178</v>
      </c>
      <c r="B456">
        <v>96.1</v>
      </c>
      <c r="C456">
        <v>93.5</v>
      </c>
      <c r="D456">
        <v>89.5</v>
      </c>
    </row>
    <row r="457" spans="1:4" ht="15" customHeight="1" x14ac:dyDescent="0.45">
      <c r="A457" t="s">
        <v>179</v>
      </c>
      <c r="B457">
        <v>100</v>
      </c>
      <c r="C457">
        <v>98.2</v>
      </c>
      <c r="D457">
        <v>93.9</v>
      </c>
    </row>
    <row r="458" spans="1:4" ht="15" customHeight="1" x14ac:dyDescent="0.45">
      <c r="A458" t="s">
        <v>180</v>
      </c>
      <c r="B458">
        <v>97.6</v>
      </c>
      <c r="C458">
        <v>96.1</v>
      </c>
      <c r="D458">
        <v>90.6</v>
      </c>
    </row>
    <row r="459" spans="1:4" ht="15" customHeight="1" x14ac:dyDescent="0.45">
      <c r="A459" t="s">
        <v>181</v>
      </c>
      <c r="B459">
        <v>95.2</v>
      </c>
      <c r="C459">
        <v>93.2</v>
      </c>
      <c r="D459">
        <v>90.5</v>
      </c>
    </row>
    <row r="460" spans="1:4" ht="15" customHeight="1" x14ac:dyDescent="0.45">
      <c r="A460" t="s">
        <v>182</v>
      </c>
      <c r="B460">
        <v>98.7</v>
      </c>
      <c r="C460">
        <v>97.4</v>
      </c>
      <c r="D460">
        <v>93.4</v>
      </c>
    </row>
    <row r="461" spans="1:4" ht="15" customHeight="1" x14ac:dyDescent="0.45">
      <c r="A461" t="s">
        <v>183</v>
      </c>
      <c r="B461">
        <v>99.4</v>
      </c>
      <c r="C461">
        <v>97</v>
      </c>
      <c r="D461">
        <v>92.9</v>
      </c>
    </row>
    <row r="462" spans="1:4" ht="15" customHeight="1" x14ac:dyDescent="0.45">
      <c r="A462" t="s">
        <v>184</v>
      </c>
      <c r="B462">
        <v>100</v>
      </c>
      <c r="C462">
        <v>98.5</v>
      </c>
      <c r="D462">
        <v>94.9</v>
      </c>
    </row>
    <row r="463" spans="1:4" ht="15" customHeight="1" x14ac:dyDescent="0.45">
      <c r="A463" t="s">
        <v>185</v>
      </c>
      <c r="B463">
        <v>98.2</v>
      </c>
      <c r="C463">
        <v>94.7</v>
      </c>
      <c r="D463">
        <v>91.8</v>
      </c>
    </row>
    <row r="464" spans="1:4" ht="15" customHeight="1" x14ac:dyDescent="0.45">
      <c r="A464" t="s">
        <v>186</v>
      </c>
      <c r="B464">
        <v>98.1</v>
      </c>
      <c r="C464">
        <v>96.8</v>
      </c>
      <c r="D464">
        <v>91.8</v>
      </c>
    </row>
    <row r="465" spans="1:4" ht="15" customHeight="1" x14ac:dyDescent="0.45">
      <c r="A465" t="s">
        <v>187</v>
      </c>
      <c r="B465">
        <v>99.4</v>
      </c>
      <c r="C465">
        <v>96.3</v>
      </c>
      <c r="D465">
        <v>90.9</v>
      </c>
    </row>
    <row r="466" spans="1:4" ht="15" customHeight="1" x14ac:dyDescent="0.45">
      <c r="A466" t="s">
        <v>188</v>
      </c>
      <c r="B466">
        <v>100</v>
      </c>
      <c r="C466">
        <v>97</v>
      </c>
      <c r="D466">
        <v>94.6</v>
      </c>
    </row>
    <row r="467" spans="1:4" ht="15" customHeight="1" x14ac:dyDescent="0.45">
      <c r="A467" t="s">
        <v>189</v>
      </c>
      <c r="B467">
        <v>99.3</v>
      </c>
      <c r="C467">
        <v>96.7</v>
      </c>
      <c r="D467">
        <v>88.7</v>
      </c>
    </row>
    <row r="468" spans="1:4" ht="15" customHeight="1" x14ac:dyDescent="0.45">
      <c r="A468" t="s">
        <v>190</v>
      </c>
      <c r="B468">
        <v>99.4</v>
      </c>
      <c r="C468">
        <v>94.8</v>
      </c>
      <c r="D468">
        <v>85.8</v>
      </c>
    </row>
    <row r="469" spans="1:4" ht="15" customHeight="1" x14ac:dyDescent="0.45">
      <c r="A469" t="s">
        <v>191</v>
      </c>
      <c r="B469">
        <v>98.1</v>
      </c>
      <c r="C469">
        <v>96.9</v>
      </c>
      <c r="D469">
        <v>91.9</v>
      </c>
    </row>
    <row r="470" spans="1:4" ht="15" customHeight="1" x14ac:dyDescent="0.45">
      <c r="A470" t="s">
        <v>192</v>
      </c>
      <c r="B470">
        <v>96</v>
      </c>
      <c r="C470">
        <v>94.9</v>
      </c>
      <c r="D470">
        <v>89.3</v>
      </c>
    </row>
    <row r="471" spans="1:4" ht="15" customHeight="1" x14ac:dyDescent="0.45">
      <c r="A471" t="s">
        <v>193</v>
      </c>
      <c r="B471">
        <v>100</v>
      </c>
      <c r="C471">
        <v>94.8</v>
      </c>
      <c r="D471">
        <v>89.6</v>
      </c>
    </row>
    <row r="472" spans="1:4" ht="15" customHeight="1" x14ac:dyDescent="0.45">
      <c r="A472" t="s">
        <v>194</v>
      </c>
      <c r="B472">
        <v>98.4</v>
      </c>
      <c r="C472">
        <v>96.8</v>
      </c>
      <c r="D472">
        <v>90.3</v>
      </c>
    </row>
    <row r="473" spans="1:4" ht="15" customHeight="1" x14ac:dyDescent="0.45">
      <c r="A473" t="s">
        <v>195</v>
      </c>
      <c r="B473">
        <v>98.2</v>
      </c>
      <c r="C473">
        <v>95.9</v>
      </c>
      <c r="D473">
        <v>94.1</v>
      </c>
    </row>
    <row r="474" spans="1:4" ht="15" customHeight="1" x14ac:dyDescent="0.45">
      <c r="A474" t="s">
        <v>196</v>
      </c>
      <c r="B474">
        <v>98.9</v>
      </c>
      <c r="C474">
        <v>96.6</v>
      </c>
      <c r="D474">
        <v>92.7</v>
      </c>
    </row>
    <row r="475" spans="1:4" ht="15" customHeight="1" x14ac:dyDescent="0.45">
      <c r="A475" t="s">
        <v>197</v>
      </c>
      <c r="B475">
        <v>98.2</v>
      </c>
      <c r="C475">
        <v>97</v>
      </c>
      <c r="D475">
        <v>93.9</v>
      </c>
    </row>
    <row r="476" spans="1:4" ht="15" customHeight="1" x14ac:dyDescent="0.45">
      <c r="A476" t="s">
        <v>198</v>
      </c>
      <c r="B476">
        <v>98.5</v>
      </c>
      <c r="C476">
        <v>96</v>
      </c>
      <c r="D476">
        <v>89.9</v>
      </c>
    </row>
    <row r="477" spans="1:4" ht="15" customHeight="1" x14ac:dyDescent="0.45">
      <c r="A477" t="s">
        <v>199</v>
      </c>
      <c r="B477">
        <v>98.9</v>
      </c>
      <c r="C477">
        <v>94.5</v>
      </c>
      <c r="D477">
        <v>91.2</v>
      </c>
    </row>
    <row r="478" spans="1:4" ht="15" customHeight="1" x14ac:dyDescent="0.45">
      <c r="A478" t="s">
        <v>200</v>
      </c>
      <c r="B478">
        <v>98</v>
      </c>
      <c r="C478">
        <v>93.4</v>
      </c>
      <c r="D478">
        <v>88.8</v>
      </c>
    </row>
    <row r="479" spans="1:4" ht="15" customHeight="1" x14ac:dyDescent="0.45">
      <c r="A479" t="s">
        <v>201</v>
      </c>
      <c r="B479">
        <v>98.9</v>
      </c>
      <c r="C479">
        <v>96</v>
      </c>
      <c r="D479">
        <v>87.4</v>
      </c>
    </row>
    <row r="480" spans="1:4" ht="15" customHeight="1" x14ac:dyDescent="0.45">
      <c r="A480" t="s">
        <v>202</v>
      </c>
      <c r="B480">
        <v>97.4</v>
      </c>
      <c r="C480">
        <v>90.5</v>
      </c>
      <c r="D480">
        <v>81.099999999999994</v>
      </c>
    </row>
    <row r="481" spans="1:4" ht="15" customHeight="1" x14ac:dyDescent="0.45">
      <c r="A481" t="s">
        <v>203</v>
      </c>
      <c r="B481">
        <v>97.8</v>
      </c>
      <c r="C481">
        <v>94.9</v>
      </c>
      <c r="D481">
        <v>87.6</v>
      </c>
    </row>
    <row r="482" spans="1:4" ht="15" customHeight="1" x14ac:dyDescent="0.45">
      <c r="A482" t="s">
        <v>204</v>
      </c>
      <c r="B482">
        <v>95.5</v>
      </c>
      <c r="C482">
        <v>93.8</v>
      </c>
      <c r="D482">
        <v>89.3</v>
      </c>
    </row>
    <row r="483" spans="1:4" ht="15" customHeight="1" x14ac:dyDescent="0.45">
      <c r="A483" t="s">
        <v>205</v>
      </c>
      <c r="B483">
        <v>98.3</v>
      </c>
      <c r="C483">
        <v>94.4</v>
      </c>
      <c r="D483">
        <v>85.9</v>
      </c>
    </row>
    <row r="484" spans="1:4" ht="15" customHeight="1" x14ac:dyDescent="0.45">
      <c r="A484" t="s">
        <v>206</v>
      </c>
      <c r="B484">
        <v>97.9</v>
      </c>
      <c r="C484">
        <v>94.7</v>
      </c>
      <c r="D484">
        <v>83.7</v>
      </c>
    </row>
    <row r="485" spans="1:4" ht="15" customHeight="1" x14ac:dyDescent="0.45">
      <c r="A485" t="s">
        <v>207</v>
      </c>
      <c r="B485">
        <v>98.4</v>
      </c>
      <c r="C485">
        <v>95.3</v>
      </c>
      <c r="D485">
        <v>83.7</v>
      </c>
    </row>
    <row r="486" spans="1:4" ht="15" customHeight="1" x14ac:dyDescent="0.45">
      <c r="A486" t="s">
        <v>208</v>
      </c>
      <c r="B486">
        <v>97.1</v>
      </c>
      <c r="C486">
        <v>91.8</v>
      </c>
      <c r="D486">
        <v>82.5</v>
      </c>
    </row>
    <row r="487" spans="1:4" ht="15" customHeight="1" x14ac:dyDescent="0.45">
      <c r="A487" t="s">
        <v>209</v>
      </c>
      <c r="B487">
        <v>97.7</v>
      </c>
      <c r="C487">
        <v>89.8</v>
      </c>
      <c r="D487">
        <v>80.2</v>
      </c>
    </row>
    <row r="488" spans="1:4" ht="15" customHeight="1" x14ac:dyDescent="0.45">
      <c r="A488" t="s">
        <v>210</v>
      </c>
      <c r="B488">
        <v>99</v>
      </c>
      <c r="C488">
        <v>92.4</v>
      </c>
      <c r="D488">
        <v>81.7</v>
      </c>
    </row>
    <row r="489" spans="1:4" ht="15" customHeight="1" x14ac:dyDescent="0.45">
      <c r="A489" t="s">
        <v>211</v>
      </c>
      <c r="B489">
        <v>94.1</v>
      </c>
      <c r="C489">
        <v>88.3</v>
      </c>
      <c r="D489">
        <v>75.7</v>
      </c>
    </row>
    <row r="490" spans="1:4" ht="15" customHeight="1" x14ac:dyDescent="0.45">
      <c r="A490" t="s">
        <v>212</v>
      </c>
      <c r="B490">
        <v>96.5</v>
      </c>
      <c r="C490">
        <v>90</v>
      </c>
    </row>
    <row r="491" spans="1:4" ht="15" customHeight="1" x14ac:dyDescent="0.45">
      <c r="A491" t="s">
        <v>213</v>
      </c>
      <c r="B491">
        <v>93.8</v>
      </c>
      <c r="C491">
        <v>85.8</v>
      </c>
    </row>
    <row r="492" spans="1:4" ht="15" customHeight="1" x14ac:dyDescent="0.45">
      <c r="A492" t="s">
        <v>214</v>
      </c>
      <c r="B492">
        <v>95</v>
      </c>
      <c r="C492">
        <v>88.2</v>
      </c>
    </row>
    <row r="493" spans="1:4" ht="15" customHeight="1" x14ac:dyDescent="0.45">
      <c r="A493" t="s">
        <v>215</v>
      </c>
      <c r="B493">
        <v>95.8</v>
      </c>
      <c r="C493">
        <v>88.3</v>
      </c>
    </row>
    <row r="494" spans="1:4" ht="15" customHeight="1" x14ac:dyDescent="0.45">
      <c r="A494" t="s">
        <v>216</v>
      </c>
      <c r="B494">
        <v>90.9</v>
      </c>
      <c r="C494">
        <v>75.8</v>
      </c>
    </row>
    <row r="495" spans="1:4" ht="15" customHeight="1" x14ac:dyDescent="0.45">
      <c r="A495" t="s">
        <v>217</v>
      </c>
      <c r="B495">
        <v>91.1</v>
      </c>
      <c r="C495">
        <v>81.3</v>
      </c>
    </row>
    <row r="496" spans="1:4" ht="15" customHeight="1" x14ac:dyDescent="0.45">
      <c r="A496" t="s">
        <v>218</v>
      </c>
      <c r="B496">
        <v>91.2</v>
      </c>
    </row>
    <row r="497" spans="1:2" ht="15" customHeight="1" x14ac:dyDescent="0.45">
      <c r="A497" t="s">
        <v>219</v>
      </c>
      <c r="B497">
        <v>89.2</v>
      </c>
    </row>
    <row r="498" spans="1:2" ht="15" customHeight="1" x14ac:dyDescent="0.45">
      <c r="A498" t="s">
        <v>220</v>
      </c>
      <c r="B498">
        <v>86.1</v>
      </c>
    </row>
    <row r="501" spans="1:2" ht="15" customHeight="1" x14ac:dyDescent="0.45">
      <c r="A501" s="8" t="s">
        <v>316</v>
      </c>
    </row>
    <row r="502" spans="1:2" ht="15" customHeight="1" x14ac:dyDescent="0.45">
      <c r="A502" t="s">
        <v>317</v>
      </c>
      <c r="B502">
        <v>3333467.733</v>
      </c>
    </row>
    <row r="503" spans="1:2" ht="15" customHeight="1" x14ac:dyDescent="0.45">
      <c r="A503" t="s">
        <v>318</v>
      </c>
      <c r="B503">
        <v>11199</v>
      </c>
    </row>
    <row r="504" spans="1:2" ht="15" customHeight="1" x14ac:dyDescent="0.45">
      <c r="A504" t="s">
        <v>319</v>
      </c>
      <c r="B504">
        <v>15000</v>
      </c>
    </row>
    <row r="505" spans="1:2" ht="15" customHeight="1" x14ac:dyDescent="0.45">
      <c r="A505" t="s">
        <v>320</v>
      </c>
      <c r="B505">
        <v>74.66</v>
      </c>
    </row>
    <row r="506" spans="1:2" ht="15" customHeight="1" x14ac:dyDescent="0.45">
      <c r="A506" t="s">
        <v>321</v>
      </c>
      <c r="B506">
        <v>25.34</v>
      </c>
    </row>
    <row r="507" spans="1:2" ht="15" customHeight="1" x14ac:dyDescent="0.45">
      <c r="A507" t="s">
        <v>322</v>
      </c>
      <c r="B507">
        <v>65.311000000000007</v>
      </c>
    </row>
    <row r="508" spans="1:2" ht="15" customHeight="1" x14ac:dyDescent="0.45">
      <c r="A508" t="s">
        <v>323</v>
      </c>
      <c r="B508">
        <v>175868.51</v>
      </c>
    </row>
    <row r="509" spans="1:2" ht="15" customHeight="1" x14ac:dyDescent="0.45">
      <c r="A509" t="s">
        <v>324</v>
      </c>
      <c r="B509">
        <v>15.704000000000001</v>
      </c>
    </row>
    <row r="510" spans="1:2" ht="15" customHeight="1" x14ac:dyDescent="0.45">
      <c r="A510" t="s">
        <v>325</v>
      </c>
      <c r="B510">
        <v>297.65800000000002</v>
      </c>
    </row>
    <row r="511" spans="1:2" ht="15" customHeight="1" x14ac:dyDescent="0.45">
      <c r="A511" t="s">
        <v>326</v>
      </c>
      <c r="B511">
        <v>46.228000000000002</v>
      </c>
    </row>
    <row r="512" spans="1:2" ht="15" customHeight="1" x14ac:dyDescent="0.45">
      <c r="A512" t="s">
        <v>327</v>
      </c>
      <c r="B512">
        <v>30.986999999999998</v>
      </c>
    </row>
    <row r="513" spans="1:2" ht="15" customHeight="1" x14ac:dyDescent="0.45">
      <c r="A513" t="s">
        <v>328</v>
      </c>
      <c r="B513">
        <v>27.169</v>
      </c>
    </row>
    <row r="514" spans="1:2" ht="15" customHeight="1" x14ac:dyDescent="0.45">
      <c r="A514" t="s">
        <v>329</v>
      </c>
      <c r="B514">
        <v>9000</v>
      </c>
    </row>
    <row r="515" spans="1:2" ht="15" customHeight="1" x14ac:dyDescent="0.45">
      <c r="A515" t="s">
        <v>330</v>
      </c>
      <c r="B515">
        <v>3.5510000000000002</v>
      </c>
    </row>
    <row r="516" spans="1:2" ht="15" customHeight="1" x14ac:dyDescent="0.45">
      <c r="A516" t="s">
        <v>331</v>
      </c>
      <c r="B516">
        <v>48.052999999999997</v>
      </c>
    </row>
    <row r="517" spans="1:2" ht="15" customHeight="1" x14ac:dyDescent="0.45">
      <c r="A517" t="s">
        <v>332</v>
      </c>
      <c r="B517">
        <v>43.926000000000002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Overview</vt:lpstr>
      <vt:lpstr>2. Content</vt:lpstr>
      <vt:lpstr>3. Subscribers</vt:lpstr>
      <vt:lpstr>4. Experience</vt:lpstr>
      <vt:lpstr>5. Catalogue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MarkPowerBI 007</cp:lastModifiedBy>
  <cp:revision>2</cp:revision>
  <dcterms:created xsi:type="dcterms:W3CDTF">2026-07-17T14:40:04Z</dcterms:created>
  <dcterms:modified xsi:type="dcterms:W3CDTF">2026-07-17T16:27:29Z</dcterms:modified>
  <dc:language>en-US</dc:language>
</cp:coreProperties>
</file>